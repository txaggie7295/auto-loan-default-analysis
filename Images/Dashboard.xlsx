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9b143ddb1444c751/Documents/Data_Analytics_Bootcamp/SQL Stuff/Kaggle_Loan_Deafult/portfolio/"/>
    </mc:Choice>
  </mc:AlternateContent>
  <xr:revisionPtr revIDLastSave="556" documentId="8_{E22EDD1D-FC0C-4009-B2E9-E72AA5D1038D}" xr6:coauthVersionLast="47" xr6:coauthVersionMax="47" xr10:uidLastSave="{72224751-2BA8-420C-B984-FC1B1AFFFFDA}"/>
  <bookViews>
    <workbookView xWindow="16284" yWindow="-108" windowWidth="23256" windowHeight="12456" xr2:uid="{45A325FB-C2FA-4336-AAA5-1D1205DAD4E7}"/>
  </bookViews>
  <sheets>
    <sheet name="Visual" sheetId="2" r:id="rId1"/>
    <sheet name="Data" sheetId="1" r:id="rId2"/>
  </sheets>
  <definedNames>
    <definedName name="Slicer_credit_segment">#N/A</definedName>
    <definedName name="Slicer_inquiries">#N/A</definedName>
    <definedName name="Slicer_ltv_band">#N/A</definedName>
  </definedNames>
  <calcPr calcId="191029"/>
  <pivotCaches>
    <pivotCache cacheId="23"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2" i="2" l="1"/>
  <c r="H23" i="2"/>
  <c r="H24" i="2"/>
  <c r="H21" i="2"/>
</calcChain>
</file>

<file path=xl/sharedStrings.xml><?xml version="1.0" encoding="utf-8"?>
<sst xmlns="http://schemas.openxmlformats.org/spreadsheetml/2006/main" count="482" uniqueCount="129">
  <si>
    <t>loans</t>
  </si>
  <si>
    <t>loan_default</t>
  </si>
  <si>
    <t>default_perc</t>
  </si>
  <si>
    <t>credit_segment</t>
  </si>
  <si>
    <t>ltv_band</t>
  </si>
  <si>
    <t>inquiries</t>
  </si>
  <si>
    <t>buckets</t>
  </si>
  <si>
    <t>default_bucket</t>
  </si>
  <si>
    <t>risk_tier</t>
  </si>
  <si>
    <t>000: No Credit History</t>
  </si>
  <si>
    <t>25+</t>
  </si>
  <si>
    <t>001-100: Derogatory</t>
  </si>
  <si>
    <t>300-599: Deep Subprime</t>
  </si>
  <si>
    <t>75-79.99</t>
  </si>
  <si>
    <t>300-599|75-79.99|3</t>
  </si>
  <si>
    <t>001-100|75-79.99|2</t>
  </si>
  <si>
    <t>700-900: Prime</t>
  </si>
  <si>
    <t>700-900|75-79.99|3</t>
  </si>
  <si>
    <t>70-74.99</t>
  </si>
  <si>
    <t>700-900|70-74.99|3</t>
  </si>
  <si>
    <t>000|75-79.99|2</t>
  </si>
  <si>
    <t>300-599|70-74.99|3</t>
  </si>
  <si>
    <t>600-649: Subprime</t>
  </si>
  <si>
    <t>60-69.99</t>
  </si>
  <si>
    <t>300-599|60-69.99|2</t>
  </si>
  <si>
    <t>300-599|75-79.99|1</t>
  </si>
  <si>
    <t>650-699: Near-Prime</t>
  </si>
  <si>
    <t>300-599|70-74.99|0</t>
  </si>
  <si>
    <t>300-599|70-74.99|1</t>
  </si>
  <si>
    <t>300-599|75-79.99|2</t>
  </si>
  <si>
    <t>300-599|75-79.99|0</t>
  </si>
  <si>
    <t>700-900|60-69.99|3</t>
  </si>
  <si>
    <t>600-649|75-79.99|1</t>
  </si>
  <si>
    <t>300-599|70-74.99|2</t>
  </si>
  <si>
    <t>650-699|75-79.99|2</t>
  </si>
  <si>
    <t>700-900|75-79.99|2</t>
  </si>
  <si>
    <t>20-24</t>
  </si>
  <si>
    <t>000|75-79.99|1</t>
  </si>
  <si>
    <t>001-100|75-79.99|1</t>
  </si>
  <si>
    <t>000|75-79.99|0</t>
  </si>
  <si>
    <t>000|70-74.99|2</t>
  </si>
  <si>
    <t>700-900|70-74.99|2</t>
  </si>
  <si>
    <t>600-649|75-79.99|0</t>
  </si>
  <si>
    <t>000|70-74.99|0</t>
  </si>
  <si>
    <t>300-599|60-69.99|1</t>
  </si>
  <si>
    <t>300-599|60-69.99|0</t>
  </si>
  <si>
    <t>650-699|70-74.99|1</t>
  </si>
  <si>
    <t>000|70-74.99|1</t>
  </si>
  <si>
    <t>0-59.99</t>
  </si>
  <si>
    <t>300-599|0-59.99|1</t>
  </si>
  <si>
    <t>001-100|75-79.99|0</t>
  </si>
  <si>
    <t>700-900|60-69.99|1</t>
  </si>
  <si>
    <t>300-599|0-59.99|0</t>
  </si>
  <si>
    <t>001-100|70-74.99|1</t>
  </si>
  <si>
    <t>600-649|70-74.99|0</t>
  </si>
  <si>
    <t>700-900|75-79.99|1</t>
  </si>
  <si>
    <t>600-649|70-74.99|1</t>
  </si>
  <si>
    <t>700-900|60-69.99|2</t>
  </si>
  <si>
    <t>15-19</t>
  </si>
  <si>
    <t>650-699|75-79.99|1</t>
  </si>
  <si>
    <t>600-649|60-69.99|1</t>
  </si>
  <si>
    <t>700-900|70-74.99|1</t>
  </si>
  <si>
    <t>001-100|70-74.99|0</t>
  </si>
  <si>
    <t>001-100|60-69.99|1</t>
  </si>
  <si>
    <t>000|60-69.99|0</t>
  </si>
  <si>
    <t>600-649|60-69.99|0</t>
  </si>
  <si>
    <t>000|60-69.99|1</t>
  </si>
  <si>
    <t>650-699|70-74.99|0</t>
  </si>
  <si>
    <t>700-900|0-59.99|1</t>
  </si>
  <si>
    <t>001-100|60-69.99|0</t>
  </si>
  <si>
    <t>650-699|60-69.99|1</t>
  </si>
  <si>
    <t>600-649|0-59.99|0</t>
  </si>
  <si>
    <t>650-699|75-79.99|0</t>
  </si>
  <si>
    <t>000|60-69.99|2</t>
  </si>
  <si>
    <t>001-100|0-59.99|1</t>
  </si>
  <si>
    <t>0-14</t>
  </si>
  <si>
    <t>650-699|60-69.99|0</t>
  </si>
  <si>
    <t>000|0-59.99|1</t>
  </si>
  <si>
    <t>700-900|75-79.99|0</t>
  </si>
  <si>
    <t>000|0-59.99|0</t>
  </si>
  <si>
    <t>650-699|0-59.99|0</t>
  </si>
  <si>
    <t>700-900|70-74.99|0</t>
  </si>
  <si>
    <t>001-100|0-59.99|0</t>
  </si>
  <si>
    <t>700-900|60-69.99|0</t>
  </si>
  <si>
    <t>700-900|0-59.99|0</t>
  </si>
  <si>
    <t>Grand Total</t>
  </si>
  <si>
    <t>000|80-99.99|3</t>
  </si>
  <si>
    <t>001-100|80-99.99|3</t>
  </si>
  <si>
    <t>001-100|80-99.99|2</t>
  </si>
  <si>
    <t>000|80-99.99|2</t>
  </si>
  <si>
    <t>300-599|80-99.99|3</t>
  </si>
  <si>
    <t>300-599|80-99.99|2</t>
  </si>
  <si>
    <t>300-599|80-99.99|1</t>
  </si>
  <si>
    <t>600-649|80-99.99|3</t>
  </si>
  <si>
    <t>700-900|80-99.99|3</t>
  </si>
  <si>
    <t>000|80-99.99|1</t>
  </si>
  <si>
    <t>300-599|80-99.99|0</t>
  </si>
  <si>
    <t>001-100|80-99.99|1</t>
  </si>
  <si>
    <t>650-699|80-99.99|3</t>
  </si>
  <si>
    <t>000|80-99.99|0</t>
  </si>
  <si>
    <t>650-699|80-99.99|2</t>
  </si>
  <si>
    <t>700-900|80-99.99|2</t>
  </si>
  <si>
    <t>600-649|80-99.99|1</t>
  </si>
  <si>
    <t>600-649|80-99.99|0</t>
  </si>
  <si>
    <t>001-100|80-99.99|0</t>
  </si>
  <si>
    <t>700-900|80-99.99|1</t>
  </si>
  <si>
    <t>650-699|80-99.99|1</t>
  </si>
  <si>
    <t>600-649|80-99.99|2</t>
  </si>
  <si>
    <t>650-699|80-99.99|0</t>
  </si>
  <si>
    <t>700-900|80-99.99|0</t>
  </si>
  <si>
    <t>80-99.99</t>
  </si>
  <si>
    <t># Loans</t>
  </si>
  <si>
    <t># Defaults</t>
  </si>
  <si>
    <t>risk_tier_label</t>
  </si>
  <si>
    <t>Tier 3: High Risk (25%+ Default Rate)</t>
  </si>
  <si>
    <t>Tier 2: Elevated Risk (20-24% Default Rate)</t>
  </si>
  <si>
    <t>Tier 1: Moderate Risk (15-19% Default Rate)</t>
  </si>
  <si>
    <t>Tier 0: Low Risk (0-14% Default Rate)</t>
  </si>
  <si>
    <t>Risk Tier Label</t>
  </si>
  <si>
    <t>% of Total Portfolio</t>
  </si>
  <si>
    <t>% of Total Defaults</t>
  </si>
  <si>
    <t>Default Rate</t>
  </si>
  <si>
    <t>Loss Density</t>
  </si>
  <si>
    <t xml:space="preserve"> </t>
  </si>
  <si>
    <t>Inquiries</t>
  </si>
  <si>
    <t>,</t>
  </si>
  <si>
    <t>Credit Segment</t>
  </si>
  <si>
    <t>Default Percentage by Credit Segment and Inquiries</t>
  </si>
  <si>
    <t>Visual Analysis of Defaults by Credit Segment, LTV Band, and Credit Inquiries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</si>
</sst>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1" x14ac:knownFonts="1">
    <font>
      <sz val="11"/>
      <color theme="1"/>
      <name val="Aptos Narrow"/>
      <family val="2"/>
      <scheme val="minor"/>
    </font>
    <font>
      <sz val="12"/>
      <color theme="1"/>
      <name val="Aptos Narrow"/>
      <family val="2"/>
      <scheme val="minor"/>
    </font>
    <font>
      <sz val="11"/>
      <color theme="1"/>
      <name val="Aptos Narrow"/>
      <family val="2"/>
      <scheme val="minor"/>
    </font>
    <font>
      <b/>
      <sz val="12"/>
      <color theme="0"/>
      <name val="Aptos Narrow"/>
      <family val="2"/>
      <scheme val="minor"/>
    </font>
    <font>
      <sz val="12"/>
      <name val="Aptos Narrow"/>
      <family val="2"/>
      <scheme val="minor"/>
    </font>
    <font>
      <sz val="12"/>
      <color theme="0"/>
      <name val="Aptos Narrow"/>
      <family val="2"/>
      <scheme val="minor"/>
    </font>
    <font>
      <sz val="11"/>
      <name val="Aptos Narrow"/>
      <family val="2"/>
      <scheme val="minor"/>
    </font>
    <font>
      <sz val="14"/>
      <color theme="0"/>
      <name val="Aptos Narrow"/>
      <family val="2"/>
      <scheme val="minor"/>
    </font>
    <font>
      <b/>
      <sz val="14"/>
      <color theme="0"/>
      <name val="Aptos Narrow"/>
      <family val="2"/>
      <scheme val="minor"/>
    </font>
    <font>
      <sz val="14"/>
      <color theme="1"/>
      <name val="Aptos Narrow"/>
      <family val="2"/>
      <scheme val="minor"/>
    </font>
    <font>
      <sz val="24"/>
      <color theme="0"/>
      <name val="Aptos Narrow"/>
      <family val="2"/>
      <scheme val="minor"/>
    </font>
  </fonts>
  <fills count="11">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theme="4" tint="-0.249977111117893"/>
        <bgColor indexed="64"/>
      </patternFill>
    </fill>
    <fill>
      <patternFill patternType="solid">
        <fgColor theme="0" tint="-0.249977111117893"/>
        <bgColor indexed="64"/>
      </patternFill>
    </fill>
    <fill>
      <patternFill patternType="solid">
        <fgColor theme="1" tint="0.34998626667073579"/>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6"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37">
    <xf numFmtId="0" fontId="0" fillId="0" borderId="0" xfId="0"/>
    <xf numFmtId="0" fontId="0" fillId="0" borderId="0" xfId="0" applyAlignment="1">
      <alignment horizontal="center"/>
    </xf>
    <xf numFmtId="0" fontId="0" fillId="3" borderId="0" xfId="0" applyFill="1" applyAlignment="1">
      <alignment horizontal="center"/>
    </xf>
    <xf numFmtId="0" fontId="0" fillId="3" borderId="0" xfId="0" applyFill="1"/>
    <xf numFmtId="43" fontId="1" fillId="3" borderId="0" xfId="1" applyFont="1" applyFill="1"/>
    <xf numFmtId="43" fontId="1" fillId="0" borderId="0" xfId="1" applyFont="1"/>
    <xf numFmtId="43" fontId="1" fillId="5" borderId="0" xfId="1" applyFont="1" applyFill="1"/>
    <xf numFmtId="164" fontId="5" fillId="5" borderId="0" xfId="0" applyNumberFormat="1" applyFont="1" applyFill="1" applyAlignment="1">
      <alignment horizontal="right"/>
    </xf>
    <xf numFmtId="10" fontId="5" fillId="5" borderId="0" xfId="0" applyNumberFormat="1" applyFont="1" applyFill="1" applyAlignment="1">
      <alignment horizontal="right"/>
    </xf>
    <xf numFmtId="0" fontId="4" fillId="2" borderId="0" xfId="0" applyFont="1" applyFill="1" applyAlignment="1">
      <alignment horizontal="left"/>
    </xf>
    <xf numFmtId="164" fontId="4" fillId="2" borderId="0" xfId="0" applyNumberFormat="1" applyFont="1" applyFill="1" applyAlignment="1">
      <alignment horizontal="right"/>
    </xf>
    <xf numFmtId="10" fontId="4" fillId="2" borderId="0" xfId="0" applyNumberFormat="1" applyFont="1" applyFill="1" applyAlignment="1">
      <alignment horizontal="right"/>
    </xf>
    <xf numFmtId="43" fontId="4" fillId="2" borderId="0" xfId="1" applyFont="1" applyFill="1"/>
    <xf numFmtId="0" fontId="0" fillId="0" borderId="0" xfId="0" applyFill="1"/>
    <xf numFmtId="10" fontId="0" fillId="0" borderId="0" xfId="0" applyNumberFormat="1" applyFill="1"/>
    <xf numFmtId="0" fontId="0" fillId="6" borderId="0" xfId="0" applyFill="1" applyAlignment="1">
      <alignment horizontal="left"/>
    </xf>
    <xf numFmtId="10" fontId="0" fillId="6" borderId="0" xfId="0" applyNumberFormat="1" applyFill="1"/>
    <xf numFmtId="0" fontId="8" fillId="4" borderId="0" xfId="0" applyFont="1" applyFill="1" applyAlignment="1">
      <alignment horizontal="center"/>
    </xf>
    <xf numFmtId="0" fontId="1" fillId="5" borderId="0" xfId="0" applyFont="1" applyFill="1"/>
    <xf numFmtId="0" fontId="5" fillId="5" borderId="0" xfId="0" applyFont="1" applyFill="1" applyAlignment="1">
      <alignment horizontal="right"/>
    </xf>
    <xf numFmtId="43" fontId="3" fillId="5" borderId="1" xfId="1" applyFont="1" applyFill="1" applyBorder="1" applyAlignment="1">
      <alignment horizontal="right"/>
    </xf>
    <xf numFmtId="0" fontId="5" fillId="5" borderId="0" xfId="0" applyFont="1" applyFill="1" applyAlignment="1">
      <alignment horizontal="center"/>
    </xf>
    <xf numFmtId="0" fontId="6" fillId="7" borderId="0" xfId="0" applyFont="1" applyFill="1"/>
    <xf numFmtId="0" fontId="0" fillId="7" borderId="0" xfId="0" applyFill="1"/>
    <xf numFmtId="0" fontId="9" fillId="7" borderId="0" xfId="0" applyFont="1" applyFill="1"/>
    <xf numFmtId="0" fontId="9" fillId="7" borderId="0" xfId="0" applyFont="1" applyFill="1" applyAlignment="1">
      <alignment horizontal="center"/>
    </xf>
    <xf numFmtId="0" fontId="9" fillId="7" borderId="0" xfId="0" applyFont="1" applyFill="1" applyAlignment="1">
      <alignment horizontal="left"/>
    </xf>
    <xf numFmtId="10" fontId="9" fillId="7" borderId="0" xfId="0" applyNumberFormat="1" applyFont="1" applyFill="1"/>
    <xf numFmtId="0" fontId="6" fillId="0" borderId="0" xfId="0" applyFont="1" applyFill="1"/>
    <xf numFmtId="0" fontId="1" fillId="7" borderId="0" xfId="0" applyFont="1" applyFill="1" applyAlignment="1">
      <alignment horizontal="left"/>
    </xf>
    <xf numFmtId="0" fontId="9" fillId="0" borderId="0" xfId="0" applyFont="1" applyFill="1"/>
    <xf numFmtId="0" fontId="0" fillId="8" borderId="0" xfId="0" applyFill="1" applyAlignment="1">
      <alignment horizontal="left"/>
    </xf>
    <xf numFmtId="10" fontId="0" fillId="8" borderId="0" xfId="0" applyNumberFormat="1" applyFill="1"/>
    <xf numFmtId="0" fontId="0" fillId="0" borderId="0" xfId="0" applyFill="1" applyAlignment="1">
      <alignment horizontal="right"/>
    </xf>
    <xf numFmtId="0" fontId="7" fillId="9" borderId="0" xfId="0" applyFont="1" applyFill="1" applyAlignment="1">
      <alignment horizontal="left"/>
    </xf>
    <xf numFmtId="10" fontId="7" fillId="9" borderId="0" xfId="0" applyNumberFormat="1" applyFont="1" applyFill="1"/>
    <xf numFmtId="0" fontId="10" fillId="10" borderId="0" xfId="0" applyFont="1" applyFill="1" applyAlignment="1">
      <alignment horizontal="center" vertical="center"/>
    </xf>
  </cellXfs>
  <cellStyles count="2">
    <cellStyle name="Comma" xfId="1" builtinId="3"/>
    <cellStyle name="Normal" xfId="0" builtinId="0"/>
  </cellStyles>
  <dxfs count="278">
    <dxf>
      <fill>
        <patternFill patternType="solid">
          <bgColor theme="0" tint="-0.249977111117893"/>
        </patternFill>
      </fill>
    </dxf>
    <dxf>
      <fill>
        <patternFill patternType="solid">
          <bgColor theme="5" tint="0.79998168889431442"/>
        </patternFill>
      </fill>
    </dxf>
    <dxf>
      <fill>
        <patternFill patternType="none">
          <bgColor auto="1"/>
        </patternFill>
      </fill>
    </dxf>
    <dxf>
      <fill>
        <patternFill patternType="solid">
          <bgColor theme="5" tint="0.79998168889431442"/>
        </patternFill>
      </fill>
    </dxf>
    <dxf>
      <fill>
        <patternFill patternType="none">
          <bgColor auto="1"/>
        </patternFill>
      </fill>
    </dxf>
    <dxf>
      <fill>
        <patternFill patternType="solid">
          <bgColor theme="5" tint="-0.249977111117893"/>
        </patternFill>
      </fill>
    </dxf>
    <dxf>
      <fill>
        <patternFill patternType="solid">
          <bgColor theme="5" tint="-0.249977111117893"/>
        </patternFill>
      </fill>
    </dxf>
    <dxf>
      <fill>
        <patternFill patternType="solid">
          <bgColor theme="5" tint="-0.499984740745262"/>
        </patternFill>
      </fill>
    </dxf>
    <dxf>
      <fill>
        <patternFill patternType="none">
          <bgColor auto="1"/>
        </patternFill>
      </fill>
    </dxf>
    <dxf>
      <fill>
        <patternFill patternType="none">
          <bgColor auto="1"/>
        </patternFill>
      </fill>
    </dxf>
    <dxf>
      <fill>
        <patternFill patternType="solid">
          <bgColor theme="5" tint="0.79998168889431442"/>
        </patternFill>
      </fill>
    </dxf>
    <dxf>
      <fill>
        <patternFill patternType="solid">
          <bgColor theme="5" tint="-0.499984740745262"/>
        </patternFill>
      </fill>
    </dxf>
    <dxf>
      <fill>
        <patternFill patternType="none">
          <bgColor auto="1"/>
        </patternFill>
      </fill>
    </dxf>
    <dxf>
      <fill>
        <patternFill patternType="solid">
          <bgColor theme="5" tint="-0.499984740745262"/>
        </patternFill>
      </fill>
    </dxf>
    <dxf>
      <fill>
        <patternFill patternType="none">
          <bgColor auto="1"/>
        </patternFill>
      </fill>
    </dxf>
    <dxf>
      <fill>
        <patternFill patternType="solid">
          <bgColor theme="5" tint="-0.499984740745262"/>
        </patternFill>
      </fill>
    </dxf>
    <dxf>
      <fill>
        <patternFill patternType="none">
          <bgColor auto="1"/>
        </patternFill>
      </fill>
    </dxf>
    <dxf>
      <fill>
        <patternFill patternType="solid">
          <bgColor theme="5" tint="-0.499984740745262"/>
        </patternFill>
      </fill>
    </dxf>
    <dxf>
      <fill>
        <patternFill patternType="none">
          <bgColor auto="1"/>
        </patternFill>
      </fill>
    </dxf>
    <dxf>
      <fill>
        <patternFill patternType="none">
          <bgColor auto="1"/>
        </patternFill>
      </fill>
    </dxf>
    <dxf>
      <fill>
        <patternFill patternType="none">
          <bgColor auto="1"/>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none">
          <bgColor auto="1"/>
        </patternFill>
      </fill>
    </dxf>
    <dxf>
      <font>
        <color theme="0"/>
      </font>
    </dxf>
    <dxf>
      <font>
        <color theme="0"/>
      </font>
    </dxf>
    <dxf>
      <alignment horizontal="right"/>
    </dxf>
    <dxf>
      <fill>
        <patternFill patternType="none">
          <bgColor auto="1"/>
        </patternFill>
      </fill>
    </dxf>
    <dxf>
      <fill>
        <patternFill patternType="solid">
          <bgColor theme="5" tint="0.79998168889431442"/>
        </patternFill>
      </fill>
    </dxf>
    <dxf>
      <fill>
        <patternFill patternType="none">
          <bgColor auto="1"/>
        </patternFill>
      </fill>
    </dxf>
    <dxf>
      <fill>
        <patternFill patternType="solid">
          <bgColor theme="5" tint="-0.499984740745262"/>
        </patternFill>
      </fill>
    </dxf>
    <dxf>
      <fill>
        <patternFill patternType="solid">
          <bgColor theme="5" tint="-0.499984740745262"/>
        </patternFill>
      </fill>
    </dxf>
    <dxf>
      <fill>
        <patternFill patternType="none">
          <bgColor auto="1"/>
        </patternFill>
      </fill>
    </dxf>
    <dxf>
      <fill>
        <patternFill patternType="none">
          <bgColor auto="1"/>
        </patternFill>
      </fill>
    </dxf>
    <dxf>
      <fill>
        <patternFill patternType="solid">
          <bgColor theme="5" tint="-0.49998474074526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tint="-0.249977111117893"/>
        </patternFill>
      </fill>
    </dxf>
    <dxf>
      <fill>
        <patternFill patternType="solid">
          <bgColor theme="1" tint="0.34998626667073579"/>
        </patternFill>
      </fill>
    </dxf>
    <dxf>
      <fill>
        <patternFill patternType="solid">
          <bgColor theme="1" tint="0.34998626667073579"/>
        </patternFill>
      </fill>
    </dxf>
    <dxf>
      <fill>
        <patternFill patternType="none">
          <bgColor auto="1"/>
        </patternFill>
      </fill>
    </dxf>
    <dxf>
      <fill>
        <patternFill patternType="none">
          <bgColor auto="1"/>
        </patternFill>
      </fill>
    </dxf>
    <dxf>
      <font>
        <sz val="12"/>
      </font>
    </dxf>
    <dxf>
      <alignment horizontal="right"/>
    </dxf>
    <dxf>
      <alignment horizontal="center"/>
    </dxf>
    <dxf>
      <numFmt numFmtId="14" formatCode="0.00%"/>
    </dxf>
    <dxf>
      <font>
        <color theme="4" tint="0.79998168889431442"/>
      </font>
    </dxf>
    <dxf>
      <alignment horizontal="center"/>
    </dxf>
    <dxf>
      <alignment horizontal="center"/>
    </dxf>
    <dxf>
      <alignment horizontal="center"/>
    </dxf>
    <dxf>
      <font>
        <sz val="12"/>
      </font>
    </dxf>
    <dxf>
      <numFmt numFmtId="164" formatCode="_(* #,##0_);_(* \(#,##0\);_(* &quot;-&quot;??_);_(@_)"/>
    </dxf>
    <dxf>
      <alignment horizontal="right"/>
    </dxf>
    <dxf>
      <alignment horizontal="right"/>
    </dxf>
    <dxf>
      <numFmt numFmtId="14" formatCode="0.00%"/>
    </dxf>
    <dxf>
      <numFmt numFmtId="14" formatCode="0.00%"/>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color auto="1"/>
      </font>
    </dxf>
    <dxf>
      <font>
        <color auto="1"/>
      </font>
    </dxf>
    <dxf>
      <fill>
        <patternFill>
          <bgColor theme="1"/>
        </patternFill>
      </fill>
    </dxf>
    <dxf>
      <fill>
        <patternFill>
          <bgColor theme="1"/>
        </patternFill>
      </fill>
    </dxf>
    <dxf>
      <font>
        <color theme="0"/>
      </font>
    </dxf>
    <dxf>
      <font>
        <color theme="0"/>
      </font>
    </dxf>
    <dxf>
      <fill>
        <patternFill>
          <bgColor theme="1"/>
        </patternFill>
      </fill>
    </dxf>
    <dxf>
      <font>
        <color theme="0"/>
      </font>
    </dxf>
    <dxf>
      <alignment horizontal="right"/>
    </dxf>
    <dxf>
      <fill>
        <patternFill>
          <bgColor theme="4" tint="-0.249977111117893"/>
        </patternFill>
      </fill>
    </dxf>
    <dxf>
      <fill>
        <patternFill>
          <bgColor theme="4" tint="-0.249977111117893"/>
        </patternFill>
      </fill>
    </dxf>
    <dxf>
      <font>
        <color theme="0"/>
      </font>
    </dxf>
    <dxf>
      <font>
        <color theme="0"/>
      </font>
    </dxf>
    <dxf>
      <fill>
        <patternFill>
          <bgColor theme="4" tint="0.79998168889431442"/>
        </patternFill>
      </fill>
    </dxf>
    <dxf>
      <fill>
        <patternFill>
          <bgColor theme="4" tint="0.79998168889431442"/>
        </patternFill>
      </fill>
    </dxf>
    <dxf>
      <font>
        <color auto="1"/>
      </font>
    </dxf>
    <dxf>
      <font>
        <color auto="1"/>
      </font>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numFmt numFmtId="14" formatCode="0.00%"/>
    </dxf>
    <dxf>
      <font>
        <color theme="4" tint="0.79998168889431442"/>
      </font>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center"/>
    </dxf>
    <dxf>
      <alignment horizontal="center"/>
    </dxf>
    <dxf>
      <font>
        <color auto="1"/>
      </font>
    </dxf>
    <dxf>
      <fill>
        <patternFill patternType="solid">
          <bgColor theme="0" tint="-0.249977111117893"/>
        </patternFill>
      </fill>
    </dxf>
    <dxf>
      <fill>
        <patternFill patternType="solid">
          <bgColor theme="0" tint="-0.249977111117893"/>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sz val="14"/>
      </font>
    </dxf>
    <dxf>
      <font>
        <sz val="14"/>
      </font>
    </dxf>
    <dxf>
      <font>
        <sz val="14"/>
      </font>
    </dxf>
    <dxf>
      <font>
        <sz val="14"/>
      </font>
    </dxf>
    <dxf>
      <font>
        <sz val="14"/>
      </font>
    </dxf>
    <dxf>
      <numFmt numFmtId="14" formatCode="0.00%"/>
    </dxf>
    <dxf>
      <font>
        <color theme="4" tint="0.79998168889431442"/>
      </font>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font>
        <color auto="1"/>
      </font>
    </dxf>
    <dxf>
      <fill>
        <patternFill patternType="solid">
          <bgColor theme="0" tint="-0.249977111117893"/>
        </patternFill>
      </fill>
    </dxf>
    <dxf>
      <fill>
        <patternFill patternType="solid">
          <bgColor theme="0" tint="-0.249977111117893"/>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sz val="14"/>
      </font>
    </dxf>
    <dxf>
      <font>
        <sz val="14"/>
      </font>
    </dxf>
    <dxf>
      <font>
        <sz val="14"/>
      </font>
    </dxf>
    <dxf>
      <font>
        <sz val="14"/>
      </font>
    </dxf>
    <dxf>
      <numFmt numFmtId="14" formatCode="0.00%"/>
    </dxf>
    <dxf>
      <font>
        <color theme="4" tint="0.79998168889431442"/>
      </font>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font>
        <color auto="1"/>
      </font>
    </dxf>
    <dxf>
      <fill>
        <patternFill patternType="solid">
          <bgColor theme="0" tint="-0.249977111117893"/>
        </patternFill>
      </fill>
    </dxf>
    <dxf>
      <fill>
        <patternFill patternType="solid">
          <bgColor theme="0" tint="-0.249977111117893"/>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sz val="14"/>
      </font>
    </dxf>
    <dxf>
      <font>
        <sz val="14"/>
      </font>
    </dxf>
    <dxf>
      <font>
        <sz val="14"/>
      </font>
    </dxf>
    <dxf>
      <font>
        <sz val="14"/>
      </font>
    </dxf>
    <dxf>
      <numFmt numFmtId="14" formatCode="0.00%"/>
    </dxf>
    <dxf>
      <font>
        <color theme="4" tint="0.79998168889431442"/>
      </font>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center"/>
    </dxf>
    <dxf>
      <alignment horizontal="center"/>
    </dxf>
    <dxf>
      <font>
        <color auto="1"/>
      </font>
    </dxf>
    <dxf>
      <fill>
        <patternFill patternType="solid">
          <bgColor theme="0" tint="-0.249977111117893"/>
        </patternFill>
      </fill>
    </dxf>
    <dxf>
      <fill>
        <patternFill patternType="solid">
          <bgColor theme="0" tint="-0.249977111117893"/>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sz val="14"/>
      </font>
    </dxf>
    <dxf>
      <font>
        <sz val="14"/>
      </font>
    </dxf>
    <dxf>
      <font>
        <sz val="14"/>
      </font>
    </dxf>
    <dxf>
      <font>
        <sz val="14"/>
      </font>
    </dxf>
    <dxf>
      <font>
        <sz val="14"/>
      </font>
    </dxf>
    <dxf>
      <numFmt numFmtId="14" formatCode="0.00%"/>
    </dxf>
    <dxf>
      <font>
        <color theme="4" tint="0.79998168889431442"/>
      </font>
    </dxf>
    <dxf>
      <alignment horizontal="center"/>
    </dxf>
    <dxf>
      <fill>
        <patternFill patternType="none">
          <bgColor auto="1"/>
        </patternFill>
      </fill>
    </dxf>
    <dxf>
      <fill>
        <patternFill patternType="none">
          <bgColor auto="1"/>
        </patternFill>
      </fill>
    </dxf>
    <dxf>
      <fill>
        <patternFill patternType="none">
          <bgColor auto="1"/>
        </patternFill>
      </fill>
    </dxf>
    <dxf>
      <alignment horizontal="left"/>
    </dxf>
    <dxf>
      <font>
        <color auto="1"/>
      </font>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none">
          <bgColor auto="1"/>
        </patternFill>
      </fill>
    </dxf>
    <dxf>
      <fill>
        <patternFill patternType="solid">
          <bgColor theme="1" tint="0.34998626667073579"/>
        </patternFill>
      </fill>
    </dxf>
    <dxf>
      <fill>
        <patternFill patternType="solid">
          <bgColor theme="1" tint="0.34998626667073579"/>
        </patternFill>
      </fill>
    </dxf>
    <dxf>
      <fill>
        <patternFill patternType="none">
          <bgColor auto="1"/>
        </patternFill>
      </fill>
    </dxf>
    <dxf>
      <fill>
        <patternFill patternType="solid">
          <bgColor theme="1" tint="0.34998626667073579"/>
        </patternFill>
      </fill>
    </dxf>
    <dxf>
      <fill>
        <patternFill patternType="solid">
          <bgColor theme="1" tint="0.34998626667073579"/>
        </patternFill>
      </fill>
    </dxf>
    <dxf>
      <fill>
        <patternFill patternType="none">
          <bgColor auto="1"/>
        </patternFill>
      </fill>
    </dxf>
    <dxf>
      <fill>
        <patternFill patternType="solid">
          <bgColor theme="1" tint="0.34998626667073579"/>
        </patternFill>
      </fill>
    </dxf>
    <dxf>
      <fill>
        <patternFill patternType="none">
          <bgColor auto="1"/>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1"/>
        </patternFill>
      </fill>
    </dxf>
    <dxf>
      <fill>
        <patternFill>
          <bgColor theme="4" tint="-0.249977111117893"/>
        </patternFill>
      </fill>
    </dxf>
    <dxf>
      <fill>
        <patternFill patternType="solid">
          <bgColor theme="4" tint="0.79998168889431442"/>
        </patternFill>
      </fill>
    </dxf>
    <dxf>
      <fill>
        <patternFill patternType="solid">
          <bgColor theme="0" tint="-0.249977111117893"/>
        </patternFill>
      </fill>
    </dxf>
    <dxf>
      <fill>
        <patternFill patternType="none">
          <bgColor auto="1"/>
        </patternFill>
      </fill>
    </dxf>
    <dxf>
      <fill>
        <patternFill patternType="solid">
          <bgColor theme="0" tint="-0.249977111117893"/>
        </patternFill>
      </fill>
    </dxf>
    <dxf>
      <font>
        <color auto="1"/>
      </font>
    </dxf>
    <dxf>
      <alignment horizontal="center"/>
    </dxf>
    <dxf>
      <alignment horizontal="center"/>
    </dxf>
    <dxf>
      <alignment horizontal="left"/>
    </dxf>
    <dxf>
      <numFmt numFmtId="14" formatCode="0.00%"/>
    </dxf>
    <dxf>
      <font>
        <color theme="4" tint="0.79998168889431442"/>
      </font>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ill>
        <patternFill>
          <bgColor theme="4" tint="0.79998168889431442"/>
        </patternFill>
      </fill>
    </dxf>
    <dxf>
      <fill>
        <patternFill>
          <bgColor theme="4" tint="0.79998168889431442"/>
        </patternFill>
      </fill>
    </dxf>
    <dxf>
      <font>
        <color theme="0"/>
      </font>
    </dxf>
    <dxf>
      <font>
        <color theme="0"/>
      </font>
    </dxf>
    <dxf>
      <fill>
        <patternFill>
          <bgColor theme="4" tint="-0.249977111117893"/>
        </patternFill>
      </fill>
    </dxf>
    <dxf>
      <fill>
        <patternFill>
          <bgColor theme="4" tint="-0.249977111117893"/>
        </patternFill>
      </fill>
    </dxf>
    <dxf>
      <alignment horizontal="right"/>
    </dxf>
    <dxf>
      <font>
        <color theme="0"/>
      </font>
    </dxf>
    <dxf>
      <fill>
        <patternFill>
          <bgColor theme="1"/>
        </patternFill>
      </fill>
    </dxf>
    <dxf>
      <font>
        <color theme="0"/>
      </font>
    </dxf>
    <dxf>
      <font>
        <color theme="0"/>
      </font>
    </dxf>
    <dxf>
      <fill>
        <patternFill>
          <bgColor theme="1"/>
        </patternFill>
      </fill>
    </dxf>
    <dxf>
      <fill>
        <patternFill>
          <bgColor theme="1"/>
        </patternFill>
      </fill>
    </dxf>
    <dxf>
      <font>
        <color auto="1"/>
      </font>
    </dxf>
    <dxf>
      <font>
        <color auto="1"/>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14" formatCode="0.00%"/>
    </dxf>
    <dxf>
      <numFmt numFmtId="14" formatCode="0.00%"/>
    </dxf>
    <dxf>
      <alignment horizontal="right"/>
    </dxf>
    <dxf>
      <alignment horizontal="right"/>
    </dxf>
    <dxf>
      <numFmt numFmtId="164" formatCode="_(* #,##0_);_(* \(#,##0\);_(* &quot;-&quot;??_);_(@_)"/>
    </dxf>
    <dxf>
      <font>
        <sz val="12"/>
      </font>
    </dxf>
    <dxf>
      <alignment horizontal="center"/>
    </dxf>
    <dxf>
      <alignment horizontal="center"/>
    </dxf>
    <dxf>
      <alignment horizontal="center"/>
    </dxf>
    <dxf>
      <font>
        <color theme="4" tint="0.79998168889431442"/>
      </font>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Default % by Credit Segment and Inquiries</a:t>
            </a:r>
          </a:p>
        </c:rich>
      </c:tx>
      <c:layout>
        <c:manualLayout>
          <c:xMode val="edge"/>
          <c:yMode val="edge"/>
          <c:x val="0.27811768639251089"/>
          <c:y val="2.96362954630671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58709544736578E-2"/>
          <c:y val="0.12868391451068617"/>
          <c:w val="0.77042566211015528"/>
          <c:h val="0.67747701537307836"/>
        </c:manualLayout>
      </c:layout>
      <c:lineChart>
        <c:grouping val="standard"/>
        <c:varyColors val="0"/>
        <c:ser>
          <c:idx val="0"/>
          <c:order val="0"/>
          <c:tx>
            <c:v>0</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6"/>
              <c:pt idx="0">
                <c:v>700-900: Prime</c:v>
              </c:pt>
              <c:pt idx="1">
                <c:v>650-699: Near-Prime</c:v>
              </c:pt>
              <c:pt idx="2">
                <c:v>600-649: Subprime</c:v>
              </c:pt>
              <c:pt idx="3">
                <c:v>300-599: Deep Subprime</c:v>
              </c:pt>
              <c:pt idx="4">
                <c:v>001-100: Derogatory</c:v>
              </c:pt>
              <c:pt idx="5">
                <c:v>000: No Credit History</c:v>
              </c:pt>
            </c:strLit>
          </c:cat>
          <c:val>
            <c:numLit>
              <c:formatCode>General</c:formatCode>
              <c:ptCount val="6"/>
              <c:pt idx="0">
                <c:v>0.13941567192914903</c:v>
              </c:pt>
              <c:pt idx="1">
                <c:v>0.17115238817285822</c:v>
              </c:pt>
              <c:pt idx="2">
                <c:v>0.21961499031780385</c:v>
              </c:pt>
              <c:pt idx="3">
                <c:v>0.27603845971676216</c:v>
              </c:pt>
              <c:pt idx="4">
                <c:v>0.20036155468514613</c:v>
              </c:pt>
              <c:pt idx="5">
                <c:v>0.22913788088139045</c:v>
              </c:pt>
            </c:numLit>
          </c:val>
          <c:smooth val="0"/>
          <c:extLst>
            <c:ext xmlns:c16="http://schemas.microsoft.com/office/drawing/2014/chart" uri="{C3380CC4-5D6E-409C-BE32-E72D297353CC}">
              <c16:uniqueId val="{00000000-11CC-4306-A19A-93E6021A724F}"/>
            </c:ext>
          </c:extLst>
        </c:ser>
        <c:ser>
          <c:idx val="1"/>
          <c:order val="1"/>
          <c:tx>
            <c:v>1</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6"/>
              <c:pt idx="0">
                <c:v>700-900: Prime</c:v>
              </c:pt>
              <c:pt idx="1">
                <c:v>650-699: Near-Prime</c:v>
              </c:pt>
              <c:pt idx="2">
                <c:v>600-649: Subprime</c:v>
              </c:pt>
              <c:pt idx="3">
                <c:v>300-599: Deep Subprime</c:v>
              </c:pt>
              <c:pt idx="4">
                <c:v>001-100: Derogatory</c:v>
              </c:pt>
              <c:pt idx="5">
                <c:v>000: No Credit History</c:v>
              </c:pt>
            </c:strLit>
          </c:cat>
          <c:val>
            <c:numLit>
              <c:formatCode>General</c:formatCode>
              <c:ptCount val="6"/>
              <c:pt idx="0">
                <c:v>0.21358811040339704</c:v>
              </c:pt>
              <c:pt idx="1">
                <c:v>0.21504772599663111</c:v>
              </c:pt>
              <c:pt idx="2">
                <c:v>0.24899598393574296</c:v>
              </c:pt>
              <c:pt idx="3">
                <c:v>0.29468485418626528</c:v>
              </c:pt>
              <c:pt idx="4">
                <c:v>0.24459078080903104</c:v>
              </c:pt>
              <c:pt idx="5">
                <c:v>0.2548707049238399</c:v>
              </c:pt>
            </c:numLit>
          </c:val>
          <c:smooth val="0"/>
          <c:extLst>
            <c:ext xmlns:c16="http://schemas.microsoft.com/office/drawing/2014/chart" uri="{C3380CC4-5D6E-409C-BE32-E72D297353CC}">
              <c16:uniqueId val="{00000001-11CC-4306-A19A-93E6021A724F}"/>
            </c:ext>
          </c:extLst>
        </c:ser>
        <c:ser>
          <c:idx val="2"/>
          <c:order val="2"/>
          <c:tx>
            <c:v>2</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6"/>
              <c:pt idx="0">
                <c:v>700-900: Prime</c:v>
              </c:pt>
              <c:pt idx="1">
                <c:v>650-699: Near-Prime</c:v>
              </c:pt>
              <c:pt idx="2">
                <c:v>600-649: Subprime</c:v>
              </c:pt>
              <c:pt idx="3">
                <c:v>300-599: Deep Subprime</c:v>
              </c:pt>
              <c:pt idx="4">
                <c:v>001-100: Derogatory</c:v>
              </c:pt>
              <c:pt idx="5">
                <c:v>000: No Credit History</c:v>
              </c:pt>
            </c:strLit>
          </c:cat>
          <c:val>
            <c:numLit>
              <c:formatCode>General</c:formatCode>
              <c:ptCount val="6"/>
              <c:pt idx="0">
                <c:v>0.25635234330886503</c:v>
              </c:pt>
              <c:pt idx="1">
                <c:v>0.27482678983833719</c:v>
              </c:pt>
              <c:pt idx="2">
                <c:v>0.22674418604651161</c:v>
              </c:pt>
              <c:pt idx="3">
                <c:v>0.32183908045977011</c:v>
              </c:pt>
              <c:pt idx="4">
                <c:v>0.37049180327868853</c:v>
              </c:pt>
              <c:pt idx="5">
                <c:v>0.31088664421997753</c:v>
              </c:pt>
            </c:numLit>
          </c:val>
          <c:smooth val="0"/>
          <c:extLst>
            <c:ext xmlns:c16="http://schemas.microsoft.com/office/drawing/2014/chart" uri="{C3380CC4-5D6E-409C-BE32-E72D297353CC}">
              <c16:uniqueId val="{00000002-11CC-4306-A19A-93E6021A724F}"/>
            </c:ext>
          </c:extLst>
        </c:ser>
        <c:ser>
          <c:idx val="3"/>
          <c:order val="3"/>
          <c:tx>
            <c:v>3</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Lit>
              <c:ptCount val="6"/>
              <c:pt idx="0">
                <c:v>700-900: Prime</c:v>
              </c:pt>
              <c:pt idx="1">
                <c:v>650-699: Near-Prime</c:v>
              </c:pt>
              <c:pt idx="2">
                <c:v>600-649: Subprime</c:v>
              </c:pt>
              <c:pt idx="3">
                <c:v>300-599: Deep Subprime</c:v>
              </c:pt>
              <c:pt idx="4">
                <c:v>001-100: Derogatory</c:v>
              </c:pt>
              <c:pt idx="5">
                <c:v>000: No Credit History</c:v>
              </c:pt>
            </c:strLit>
          </c:cat>
          <c:val>
            <c:numLit>
              <c:formatCode>General</c:formatCode>
              <c:ptCount val="6"/>
              <c:pt idx="0">
                <c:v>0.31435257410296413</c:v>
              </c:pt>
              <c:pt idx="1">
                <c:v>0.2857142857142857</c:v>
              </c:pt>
              <c:pt idx="2">
                <c:v>0.32236842105263158</c:v>
              </c:pt>
              <c:pt idx="3">
                <c:v>0.36206896551724138</c:v>
              </c:pt>
              <c:pt idx="4">
                <c:v>0.3902439024390244</c:v>
              </c:pt>
              <c:pt idx="5">
                <c:v>0.4315068493150685</c:v>
              </c:pt>
            </c:numLit>
          </c:val>
          <c:smooth val="0"/>
          <c:extLst>
            <c:ext xmlns:c16="http://schemas.microsoft.com/office/drawing/2014/chart" uri="{C3380CC4-5D6E-409C-BE32-E72D297353CC}">
              <c16:uniqueId val="{00000003-11CC-4306-A19A-93E6021A724F}"/>
            </c:ext>
          </c:extLst>
        </c:ser>
        <c:dLbls>
          <c:showLegendKey val="0"/>
          <c:showVal val="0"/>
          <c:showCatName val="0"/>
          <c:showSerName val="0"/>
          <c:showPercent val="0"/>
          <c:showBubbleSize val="0"/>
        </c:dLbls>
        <c:marker val="1"/>
        <c:smooth val="0"/>
        <c:axId val="1067837968"/>
        <c:axId val="1067856688"/>
      </c:lineChart>
      <c:catAx>
        <c:axId val="106783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62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67856688"/>
        <c:crosses val="autoZero"/>
        <c:auto val="1"/>
        <c:lblAlgn val="ctr"/>
        <c:lblOffset val="100"/>
        <c:noMultiLvlLbl val="0"/>
      </c:catAx>
      <c:valAx>
        <c:axId val="1067856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6783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190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[Dashboard.xlsx]Visual!PivotTable7</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Default % by Credit Segment and LTV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Visual!$C$63:$C$64</c:f>
              <c:strCache>
                <c:ptCount val="1"/>
                <c:pt idx="0">
                  <c:v>0-59.99</c:v>
                </c:pt>
              </c:strCache>
            </c:strRef>
          </c:tx>
          <c:spPr>
            <a:solidFill>
              <a:schemeClr val="accent1"/>
            </a:solidFill>
            <a:ln>
              <a:noFill/>
            </a:ln>
            <a:effectLst/>
          </c:spPr>
          <c:invertIfNegative val="0"/>
          <c:cat>
            <c:strRef>
              <c:f>Visual!$B$65:$B$71</c:f>
              <c:strCache>
                <c:ptCount val="6"/>
                <c:pt idx="0">
                  <c:v>700-900: Prime</c:v>
                </c:pt>
                <c:pt idx="1">
                  <c:v>650-699: Near-Prime</c:v>
                </c:pt>
                <c:pt idx="2">
                  <c:v>600-649: Subprime</c:v>
                </c:pt>
                <c:pt idx="3">
                  <c:v>300-599: Deep Subprime</c:v>
                </c:pt>
                <c:pt idx="4">
                  <c:v>001-100: Derogatory</c:v>
                </c:pt>
                <c:pt idx="5">
                  <c:v>000: No Credit History</c:v>
                </c:pt>
              </c:strCache>
            </c:strRef>
          </c:cat>
          <c:val>
            <c:numRef>
              <c:f>Visual!$C$65:$C$71</c:f>
              <c:numCache>
                <c:formatCode>0.00%</c:formatCode>
                <c:ptCount val="6"/>
                <c:pt idx="0">
                  <c:v>9.6411671924290218E-2</c:v>
                </c:pt>
                <c:pt idx="1">
                  <c:v>0.13636363636363635</c:v>
                </c:pt>
                <c:pt idx="2">
                  <c:v>0.16298020954598369</c:v>
                </c:pt>
                <c:pt idx="3">
                  <c:v>0.20553539019963701</c:v>
                </c:pt>
                <c:pt idx="4">
                  <c:v>0.12787136294027565</c:v>
                </c:pt>
                <c:pt idx="5">
                  <c:v>0.14285714285714285</c:v>
                </c:pt>
              </c:numCache>
            </c:numRef>
          </c:val>
          <c:extLst>
            <c:ext xmlns:c16="http://schemas.microsoft.com/office/drawing/2014/chart" uri="{C3380CC4-5D6E-409C-BE32-E72D297353CC}">
              <c16:uniqueId val="{00000000-A219-4C0B-B843-E0F50C013209}"/>
            </c:ext>
          </c:extLst>
        </c:ser>
        <c:ser>
          <c:idx val="1"/>
          <c:order val="1"/>
          <c:tx>
            <c:strRef>
              <c:f>Visual!$D$63:$D$64</c:f>
              <c:strCache>
                <c:ptCount val="1"/>
                <c:pt idx="0">
                  <c:v>60-69.99</c:v>
                </c:pt>
              </c:strCache>
            </c:strRef>
          </c:tx>
          <c:spPr>
            <a:solidFill>
              <a:schemeClr val="accent2"/>
            </a:solidFill>
            <a:ln>
              <a:noFill/>
            </a:ln>
            <a:effectLst/>
          </c:spPr>
          <c:invertIfNegative val="0"/>
          <c:cat>
            <c:strRef>
              <c:f>Visual!$B$65:$B$71</c:f>
              <c:strCache>
                <c:ptCount val="6"/>
                <c:pt idx="0">
                  <c:v>700-900: Prime</c:v>
                </c:pt>
                <c:pt idx="1">
                  <c:v>650-699: Near-Prime</c:v>
                </c:pt>
                <c:pt idx="2">
                  <c:v>600-649: Subprime</c:v>
                </c:pt>
                <c:pt idx="3">
                  <c:v>300-599: Deep Subprime</c:v>
                </c:pt>
                <c:pt idx="4">
                  <c:v>001-100: Derogatory</c:v>
                </c:pt>
                <c:pt idx="5">
                  <c:v>000: No Credit History</c:v>
                </c:pt>
              </c:strCache>
            </c:strRef>
          </c:cat>
          <c:val>
            <c:numRef>
              <c:f>Visual!$D$65:$D$71</c:f>
              <c:numCache>
                <c:formatCode>0.00%</c:formatCode>
                <c:ptCount val="6"/>
                <c:pt idx="0">
                  <c:v>0.12926258771389881</c:v>
                </c:pt>
                <c:pt idx="1">
                  <c:v>0.15054887611082071</c:v>
                </c:pt>
                <c:pt idx="2">
                  <c:v>0.18368657675016056</c:v>
                </c:pt>
                <c:pt idx="3">
                  <c:v>0.23076923076923078</c:v>
                </c:pt>
                <c:pt idx="4">
                  <c:v>0.16977225672877846</c:v>
                </c:pt>
                <c:pt idx="5">
                  <c:v>0.186455463728191</c:v>
                </c:pt>
              </c:numCache>
            </c:numRef>
          </c:val>
          <c:extLst>
            <c:ext xmlns:c16="http://schemas.microsoft.com/office/drawing/2014/chart" uri="{C3380CC4-5D6E-409C-BE32-E72D297353CC}">
              <c16:uniqueId val="{00000001-A219-4C0B-B843-E0F50C013209}"/>
            </c:ext>
          </c:extLst>
        </c:ser>
        <c:ser>
          <c:idx val="2"/>
          <c:order val="2"/>
          <c:tx>
            <c:strRef>
              <c:f>Visual!$E$63:$E$64</c:f>
              <c:strCache>
                <c:ptCount val="1"/>
                <c:pt idx="0">
                  <c:v>70-74.99</c:v>
                </c:pt>
              </c:strCache>
            </c:strRef>
          </c:tx>
          <c:spPr>
            <a:solidFill>
              <a:schemeClr val="accent3"/>
            </a:solidFill>
            <a:ln>
              <a:noFill/>
            </a:ln>
            <a:effectLst/>
          </c:spPr>
          <c:invertIfNegative val="0"/>
          <c:cat>
            <c:strRef>
              <c:f>Visual!$B$65:$B$71</c:f>
              <c:strCache>
                <c:ptCount val="6"/>
                <c:pt idx="0">
                  <c:v>700-900: Prime</c:v>
                </c:pt>
                <c:pt idx="1">
                  <c:v>650-699: Near-Prime</c:v>
                </c:pt>
                <c:pt idx="2">
                  <c:v>600-649: Subprime</c:v>
                </c:pt>
                <c:pt idx="3">
                  <c:v>300-599: Deep Subprime</c:v>
                </c:pt>
                <c:pt idx="4">
                  <c:v>001-100: Derogatory</c:v>
                </c:pt>
                <c:pt idx="5">
                  <c:v>000: No Credit History</c:v>
                </c:pt>
              </c:strCache>
            </c:strRef>
          </c:cat>
          <c:val>
            <c:numRef>
              <c:f>Visual!$E$65:$E$71</c:f>
              <c:numCache>
                <c:formatCode>0.00%</c:formatCode>
                <c:ptCount val="6"/>
                <c:pt idx="0">
                  <c:v>0.14697651782455287</c:v>
                </c:pt>
                <c:pt idx="1">
                  <c:v>0.17849898580121704</c:v>
                </c:pt>
                <c:pt idx="2">
                  <c:v>0.20155968806238753</c:v>
                </c:pt>
                <c:pt idx="3">
                  <c:v>0.28415300546448086</c:v>
                </c:pt>
                <c:pt idx="4">
                  <c:v>0.19144893111638955</c:v>
                </c:pt>
                <c:pt idx="5">
                  <c:v>0.23212092583845065</c:v>
                </c:pt>
              </c:numCache>
            </c:numRef>
          </c:val>
          <c:extLst>
            <c:ext xmlns:c16="http://schemas.microsoft.com/office/drawing/2014/chart" uri="{C3380CC4-5D6E-409C-BE32-E72D297353CC}">
              <c16:uniqueId val="{00000002-A219-4C0B-B843-E0F50C013209}"/>
            </c:ext>
          </c:extLst>
        </c:ser>
        <c:ser>
          <c:idx val="3"/>
          <c:order val="3"/>
          <c:tx>
            <c:strRef>
              <c:f>Visual!$F$63:$F$64</c:f>
              <c:strCache>
                <c:ptCount val="1"/>
                <c:pt idx="0">
                  <c:v>75-79.99</c:v>
                </c:pt>
              </c:strCache>
            </c:strRef>
          </c:tx>
          <c:spPr>
            <a:solidFill>
              <a:schemeClr val="accent4"/>
            </a:solidFill>
            <a:ln>
              <a:noFill/>
            </a:ln>
            <a:effectLst/>
          </c:spPr>
          <c:invertIfNegative val="0"/>
          <c:cat>
            <c:strRef>
              <c:f>Visual!$B$65:$B$71</c:f>
              <c:strCache>
                <c:ptCount val="6"/>
                <c:pt idx="0">
                  <c:v>700-900: Prime</c:v>
                </c:pt>
                <c:pt idx="1">
                  <c:v>650-699: Near-Prime</c:v>
                </c:pt>
                <c:pt idx="2">
                  <c:v>600-649: Subprime</c:v>
                </c:pt>
                <c:pt idx="3">
                  <c:v>300-599: Deep Subprime</c:v>
                </c:pt>
                <c:pt idx="4">
                  <c:v>001-100: Derogatory</c:v>
                </c:pt>
                <c:pt idx="5">
                  <c:v>000: No Credit History</c:v>
                </c:pt>
              </c:strCache>
            </c:strRef>
          </c:cat>
          <c:val>
            <c:numRef>
              <c:f>Visual!$F$65:$F$71</c:f>
              <c:numCache>
                <c:formatCode>0.00%</c:formatCode>
                <c:ptCount val="6"/>
                <c:pt idx="0">
                  <c:v>0.16093548706768407</c:v>
                </c:pt>
                <c:pt idx="1">
                  <c:v>0.16888193901485535</c:v>
                </c:pt>
                <c:pt idx="2">
                  <c:v>0.23711855927963982</c:v>
                </c:pt>
                <c:pt idx="3">
                  <c:v>0.27589317935763263</c:v>
                </c:pt>
                <c:pt idx="4">
                  <c:v>0.22213047068538397</c:v>
                </c:pt>
                <c:pt idx="5">
                  <c:v>0.24424272235388811</c:v>
                </c:pt>
              </c:numCache>
            </c:numRef>
          </c:val>
          <c:extLst>
            <c:ext xmlns:c16="http://schemas.microsoft.com/office/drawing/2014/chart" uri="{C3380CC4-5D6E-409C-BE32-E72D297353CC}">
              <c16:uniqueId val="{00000003-A219-4C0B-B843-E0F50C013209}"/>
            </c:ext>
          </c:extLst>
        </c:ser>
        <c:ser>
          <c:idx val="4"/>
          <c:order val="4"/>
          <c:tx>
            <c:strRef>
              <c:f>Visual!$G$63:$G$64</c:f>
              <c:strCache>
                <c:ptCount val="1"/>
                <c:pt idx="0">
                  <c:v>80-99.99</c:v>
                </c:pt>
              </c:strCache>
            </c:strRef>
          </c:tx>
          <c:spPr>
            <a:solidFill>
              <a:schemeClr val="accent5"/>
            </a:solidFill>
            <a:ln>
              <a:noFill/>
            </a:ln>
            <a:effectLst/>
          </c:spPr>
          <c:invertIfNegative val="0"/>
          <c:cat>
            <c:strRef>
              <c:f>Visual!$B$65:$B$71</c:f>
              <c:strCache>
                <c:ptCount val="6"/>
                <c:pt idx="0">
                  <c:v>700-900: Prime</c:v>
                </c:pt>
                <c:pt idx="1">
                  <c:v>650-699: Near-Prime</c:v>
                </c:pt>
                <c:pt idx="2">
                  <c:v>600-649: Subprime</c:v>
                </c:pt>
                <c:pt idx="3">
                  <c:v>300-599: Deep Subprime</c:v>
                </c:pt>
                <c:pt idx="4">
                  <c:v>001-100: Derogatory</c:v>
                </c:pt>
                <c:pt idx="5">
                  <c:v>000: No Credit History</c:v>
                </c:pt>
              </c:strCache>
            </c:strRef>
          </c:cat>
          <c:val>
            <c:numRef>
              <c:f>Visual!$G$65:$G$71</c:f>
              <c:numCache>
                <c:formatCode>0.00%</c:formatCode>
                <c:ptCount val="6"/>
                <c:pt idx="0">
                  <c:v>0.18785023555665759</c:v>
                </c:pt>
                <c:pt idx="1">
                  <c:v>0.21081277213352684</c:v>
                </c:pt>
                <c:pt idx="2">
                  <c:v>0.25550867323019222</c:v>
                </c:pt>
                <c:pt idx="3">
                  <c:v>0.31882500447787926</c:v>
                </c:pt>
                <c:pt idx="4">
                  <c:v>0.26237727177773135</c:v>
                </c:pt>
                <c:pt idx="5">
                  <c:v>0.28564771668219946</c:v>
                </c:pt>
              </c:numCache>
            </c:numRef>
          </c:val>
          <c:extLst>
            <c:ext xmlns:c16="http://schemas.microsoft.com/office/drawing/2014/chart" uri="{C3380CC4-5D6E-409C-BE32-E72D297353CC}">
              <c16:uniqueId val="{00000004-A219-4C0B-B843-E0F50C013209}"/>
            </c:ext>
          </c:extLst>
        </c:ser>
        <c:dLbls>
          <c:showLegendKey val="0"/>
          <c:showVal val="0"/>
          <c:showCatName val="0"/>
          <c:showSerName val="0"/>
          <c:showPercent val="0"/>
          <c:showBubbleSize val="0"/>
        </c:dLbls>
        <c:gapWidth val="219"/>
        <c:overlap val="-27"/>
        <c:axId val="1409666431"/>
        <c:axId val="1409661151"/>
      </c:barChart>
      <c:catAx>
        <c:axId val="140966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9661151"/>
        <c:crosses val="autoZero"/>
        <c:auto val="1"/>
        <c:lblAlgn val="ctr"/>
        <c:lblOffset val="100"/>
        <c:noMultiLvlLbl val="0"/>
      </c:catAx>
      <c:valAx>
        <c:axId val="1409661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966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120015</xdr:colOff>
      <xdr:row>6</xdr:row>
      <xdr:rowOff>156210</xdr:rowOff>
    </xdr:from>
    <xdr:to>
      <xdr:col>7</xdr:col>
      <xdr:colOff>931424</xdr:colOff>
      <xdr:row>18</xdr:row>
      <xdr:rowOff>1905</xdr:rowOff>
    </xdr:to>
    <xdr:grpSp>
      <xdr:nvGrpSpPr>
        <xdr:cNvPr id="8" name="Group 7">
          <a:extLst>
            <a:ext uri="{FF2B5EF4-FFF2-40B4-BE49-F238E27FC236}">
              <a16:creationId xmlns:a16="http://schemas.microsoft.com/office/drawing/2014/main" id="{2961EF95-C0D8-C596-8D50-B279190FF7A2}"/>
            </a:ext>
          </a:extLst>
        </xdr:cNvPr>
        <xdr:cNvGrpSpPr/>
      </xdr:nvGrpSpPr>
      <xdr:grpSpPr>
        <a:xfrm>
          <a:off x="537210" y="1344930"/>
          <a:ext cx="10044944" cy="2223135"/>
          <a:chOff x="41910" y="110490"/>
          <a:chExt cx="8309475" cy="2221230"/>
        </a:xfrm>
      </xdr:grpSpPr>
      <mc:AlternateContent xmlns:mc="http://schemas.openxmlformats.org/markup-compatibility/2006">
        <mc:Choice xmlns:a14="http://schemas.microsoft.com/office/drawing/2010/main" Requires="a14">
          <xdr:graphicFrame macro="">
            <xdr:nvGraphicFramePr>
              <xdr:cNvPr id="2" name="inquiries">
                <a:extLst>
                  <a:ext uri="{FF2B5EF4-FFF2-40B4-BE49-F238E27FC236}">
                    <a16:creationId xmlns:a16="http://schemas.microsoft.com/office/drawing/2014/main" id="{9D0B3C28-B1A4-4E13-D2CF-8A2043AF7B16}"/>
                  </a:ext>
                </a:extLst>
              </xdr:cNvPr>
              <xdr:cNvGraphicFramePr/>
            </xdr:nvGraphicFramePr>
            <xdr:xfrm>
              <a:off x="6166350" y="133819"/>
              <a:ext cx="2185035" cy="2177980"/>
            </xdr:xfrm>
            <a:graphic>
              <a:graphicData uri="http://schemas.microsoft.com/office/drawing/2010/slicer">
                <sle:slicer xmlns:sle="http://schemas.microsoft.com/office/drawing/2010/slicer" name="inquiries"/>
              </a:graphicData>
            </a:graphic>
          </xdr:graphicFrame>
        </mc:Choice>
        <mc:Fallback>
          <xdr:sp macro="" textlink="">
            <xdr:nvSpPr>
              <xdr:cNvPr id="0" name=""/>
              <xdr:cNvSpPr>
                <a:spLocks noTextEdit="1"/>
              </xdr:cNvSpPr>
            </xdr:nvSpPr>
            <xdr:spPr>
              <a:xfrm>
                <a:off x="7940765" y="1368279"/>
                <a:ext cx="2641389" cy="2179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 name="credit_segment">
                <a:extLst>
                  <a:ext uri="{FF2B5EF4-FFF2-40B4-BE49-F238E27FC236}">
                    <a16:creationId xmlns:a16="http://schemas.microsoft.com/office/drawing/2014/main" id="{2BAD26CF-5A55-BD9F-F83E-950EBD00BEDD}"/>
                  </a:ext>
                </a:extLst>
              </xdr:cNvPr>
              <xdr:cNvGraphicFramePr/>
            </xdr:nvGraphicFramePr>
            <xdr:xfrm>
              <a:off x="41910" y="110490"/>
              <a:ext cx="2918460" cy="2221230"/>
            </xdr:xfrm>
            <a:graphic>
              <a:graphicData uri="http://schemas.microsoft.com/office/drawing/2010/slicer">
                <sle:slicer xmlns:sle="http://schemas.microsoft.com/office/drawing/2010/slicer" name="credit_segment"/>
              </a:graphicData>
            </a:graphic>
          </xdr:graphicFrame>
        </mc:Choice>
        <mc:Fallback>
          <xdr:sp macro="" textlink="">
            <xdr:nvSpPr>
              <xdr:cNvPr id="0" name=""/>
              <xdr:cNvSpPr>
                <a:spLocks noTextEdit="1"/>
              </xdr:cNvSpPr>
            </xdr:nvSpPr>
            <xdr:spPr>
              <a:xfrm>
                <a:off x="537210" y="1344930"/>
                <a:ext cx="3527993" cy="2223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ltv_band">
                <a:extLst>
                  <a:ext uri="{FF2B5EF4-FFF2-40B4-BE49-F238E27FC236}">
                    <a16:creationId xmlns:a16="http://schemas.microsoft.com/office/drawing/2014/main" id="{F244BDA3-09B9-61DF-594A-33D3F132CA3B}"/>
                  </a:ext>
                </a:extLst>
              </xdr:cNvPr>
              <xdr:cNvGraphicFramePr/>
            </xdr:nvGraphicFramePr>
            <xdr:xfrm>
              <a:off x="3204351" y="117832"/>
              <a:ext cx="2640330" cy="2185319"/>
            </xdr:xfrm>
            <a:graphic>
              <a:graphicData uri="http://schemas.microsoft.com/office/drawing/2010/slicer">
                <sle:slicer xmlns:sle="http://schemas.microsoft.com/office/drawing/2010/slicer" name="ltv_band"/>
              </a:graphicData>
            </a:graphic>
          </xdr:graphicFrame>
        </mc:Choice>
        <mc:Fallback>
          <xdr:sp macro="" textlink="">
            <xdr:nvSpPr>
              <xdr:cNvPr id="0" name=""/>
              <xdr:cNvSpPr>
                <a:spLocks noTextEdit="1"/>
              </xdr:cNvSpPr>
            </xdr:nvSpPr>
            <xdr:spPr>
              <a:xfrm>
                <a:off x="4360140" y="1352278"/>
                <a:ext cx="3191774" cy="2187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415289</xdr:colOff>
      <xdr:row>37</xdr:row>
      <xdr:rowOff>156210</xdr:rowOff>
    </xdr:from>
    <xdr:to>
      <xdr:col>6</xdr:col>
      <xdr:colOff>1234440</xdr:colOff>
      <xdr:row>60</xdr:row>
      <xdr:rowOff>76200</xdr:rowOff>
    </xdr:to>
    <xdr:graphicFrame macro="">
      <xdr:nvGraphicFramePr>
        <xdr:cNvPr id="9" name="Chart 8">
          <a:extLst>
            <a:ext uri="{FF2B5EF4-FFF2-40B4-BE49-F238E27FC236}">
              <a16:creationId xmlns:a16="http://schemas.microsoft.com/office/drawing/2014/main" id="{2C61FB50-95C3-47AB-94DD-D6DC739C8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125730</xdr:colOff>
      <xdr:row>71</xdr:row>
      <xdr:rowOff>142875</xdr:rowOff>
    </xdr:from>
    <xdr:to>
      <xdr:col>7</xdr:col>
      <xdr:colOff>914400</xdr:colOff>
      <xdr:row>91</xdr:row>
      <xdr:rowOff>190500</xdr:rowOff>
    </xdr:to>
    <xdr:graphicFrame macro="">
      <xdr:nvGraphicFramePr>
        <xdr:cNvPr id="10" name="Chart 9">
          <a:extLst>
            <a:ext uri="{FF2B5EF4-FFF2-40B4-BE49-F238E27FC236}">
              <a16:creationId xmlns:a16="http://schemas.microsoft.com/office/drawing/2014/main" id="{4BAC8358-158A-1946-8E9E-9B622418D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ffrey Symons" refreshedDate="46170.454633680558" createdVersion="8" refreshedVersion="8" minRefreshableVersion="3" recordCount="86" xr:uid="{D1262712-5926-4DBF-BF74-B80F07EEAC0A}">
  <cacheSource type="worksheet">
    <worksheetSource name="Table1"/>
  </cacheSource>
  <cacheFields count="11">
    <cacheField name="loans" numFmtId="0">
      <sharedItems containsSemiMixedTypes="0" containsString="0" containsNumber="1" containsInteger="1" minValue="101" maxValue="33550"/>
    </cacheField>
    <cacheField name="loan_default" numFmtId="0">
      <sharedItems containsSemiMixedTypes="0" containsString="0" containsNumber="1" containsInteger="1" minValue="16" maxValue="9460"/>
    </cacheField>
    <cacheField name="default_perc" numFmtId="0">
      <sharedItems containsSemiMixedTypes="0" containsString="0" containsNumber="1" minValue="8.8800000000000008" maxValue="43.15"/>
    </cacheField>
    <cacheField name="credit_segment" numFmtId="0">
      <sharedItems count="6">
        <s v="000: No Credit History"/>
        <s v="001-100: Derogatory"/>
        <s v="300-599: Deep Subprime"/>
        <s v="700-900: Prime"/>
        <s v="600-649: Subprime"/>
        <s v="650-699: Near-Prime"/>
      </sharedItems>
    </cacheField>
    <cacheField name="ltv_band" numFmtId="0">
      <sharedItems count="6">
        <s v="80-99.99"/>
        <s v="75-79.99"/>
        <s v="70-74.99"/>
        <s v="60-69.99"/>
        <s v="0-59.99"/>
        <s v="80-84.99" u="1"/>
      </sharedItems>
    </cacheField>
    <cacheField name="inquiries" numFmtId="0">
      <sharedItems containsSemiMixedTypes="0" containsString="0" containsNumber="1" containsInteger="1" minValue="0" maxValue="3" count="4">
        <n v="3"/>
        <n v="2"/>
        <n v="1"/>
        <n v="0"/>
      </sharedItems>
    </cacheField>
    <cacheField name="buckets" numFmtId="0">
      <sharedItems/>
    </cacheField>
    <cacheField name="default_bucket" numFmtId="0">
      <sharedItems/>
    </cacheField>
    <cacheField name="risk_tier" numFmtId="0">
      <sharedItems containsSemiMixedTypes="0" containsString="0" containsNumber="1" containsInteger="1" minValue="0" maxValue="3" count="4">
        <n v="3"/>
        <n v="2"/>
        <n v="1"/>
        <n v="0"/>
      </sharedItems>
    </cacheField>
    <cacheField name="risk_tier_label" numFmtId="0">
      <sharedItems count="4">
        <s v="Tier 3: High Risk (25%+ Default Rate)"/>
        <s v="Tier 2: Elevated Risk (20-24% Default Rate)"/>
        <s v="Tier 1: Moderate Risk (15-19% Default Rate)"/>
        <s v="Tier 0: Low Risk (0-14% Default Rate)"/>
      </sharedItems>
    </cacheField>
    <cacheField name="%Default%" numFmtId="0" formula="SUM(loan_default)/SUM(loans)" databaseField="0"/>
  </cacheFields>
  <extLst>
    <ext xmlns:x14="http://schemas.microsoft.com/office/spreadsheetml/2009/9/main" uri="{725AE2AE-9491-48be-B2B4-4EB974FC3084}">
      <x14:pivotCacheDefinition pivotCacheId="11463042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n v="146"/>
    <n v="63"/>
    <n v="43.15"/>
    <x v="0"/>
    <x v="0"/>
    <x v="0"/>
    <s v="000|80-99.99|3"/>
    <s v="25+"/>
    <x v="0"/>
    <x v="0"/>
  </r>
  <r>
    <n v="164"/>
    <n v="64"/>
    <n v="39.020000000000003"/>
    <x v="1"/>
    <x v="0"/>
    <x v="0"/>
    <s v="001-100|80-99.99|3"/>
    <s v="25+"/>
    <x v="0"/>
    <x v="0"/>
  </r>
  <r>
    <n v="204"/>
    <n v="79"/>
    <n v="38.729999999999997"/>
    <x v="1"/>
    <x v="0"/>
    <x v="1"/>
    <s v="001-100|80-99.99|2"/>
    <s v="25+"/>
    <x v="0"/>
    <x v="0"/>
  </r>
  <r>
    <n v="396"/>
    <n v="147"/>
    <n v="37.119999999999997"/>
    <x v="0"/>
    <x v="0"/>
    <x v="1"/>
    <s v="000|80-99.99|2"/>
    <s v="25+"/>
    <x v="0"/>
    <x v="0"/>
  </r>
  <r>
    <n v="437"/>
    <n v="162"/>
    <n v="37.07"/>
    <x v="2"/>
    <x v="0"/>
    <x v="0"/>
    <s v="300-599|80-99.99|3"/>
    <s v="25+"/>
    <x v="0"/>
    <x v="0"/>
  </r>
  <r>
    <n v="135"/>
    <n v="50"/>
    <n v="37.04"/>
    <x v="2"/>
    <x v="1"/>
    <x v="0"/>
    <s v="300-599|75-79.99|3"/>
    <s v="25+"/>
    <x v="0"/>
    <x v="0"/>
  </r>
  <r>
    <n v="589"/>
    <n v="214"/>
    <n v="36.33"/>
    <x v="2"/>
    <x v="0"/>
    <x v="1"/>
    <s v="300-599|80-99.99|2"/>
    <s v="25+"/>
    <x v="0"/>
    <x v="0"/>
  </r>
  <r>
    <n v="101"/>
    <n v="34"/>
    <n v="33.659999999999997"/>
    <x v="1"/>
    <x v="1"/>
    <x v="1"/>
    <s v="001-100|75-79.99|2"/>
    <s v="25+"/>
    <x v="0"/>
    <x v="0"/>
  </r>
  <r>
    <n v="1903"/>
    <n v="639"/>
    <n v="33.58"/>
    <x v="2"/>
    <x v="0"/>
    <x v="2"/>
    <s v="300-599|80-99.99|1"/>
    <s v="25+"/>
    <x v="0"/>
    <x v="0"/>
  </r>
  <r>
    <n v="265"/>
    <n v="88"/>
    <n v="33.21"/>
    <x v="3"/>
    <x v="1"/>
    <x v="0"/>
    <s v="700-900|75-79.99|3"/>
    <s v="25+"/>
    <x v="0"/>
    <x v="0"/>
  </r>
  <r>
    <n v="209"/>
    <n v="68"/>
    <n v="32.54"/>
    <x v="3"/>
    <x v="2"/>
    <x v="0"/>
    <s v="700-900|70-74.99|3"/>
    <s v="25+"/>
    <x v="0"/>
    <x v="0"/>
  </r>
  <r>
    <n v="235"/>
    <n v="76"/>
    <n v="32.340000000000003"/>
    <x v="0"/>
    <x v="1"/>
    <x v="1"/>
    <s v="000|75-79.99|2"/>
    <s v="25+"/>
    <x v="0"/>
    <x v="0"/>
  </r>
  <r>
    <n v="124"/>
    <n v="40"/>
    <n v="32.26"/>
    <x v="2"/>
    <x v="2"/>
    <x v="0"/>
    <s v="300-599|70-74.99|3"/>
    <s v="25+"/>
    <x v="0"/>
    <x v="0"/>
  </r>
  <r>
    <n v="152"/>
    <n v="49"/>
    <n v="32.24"/>
    <x v="4"/>
    <x v="0"/>
    <x v="0"/>
    <s v="600-649|80-99.99|3"/>
    <s v="25+"/>
    <x v="0"/>
    <x v="0"/>
  </r>
  <r>
    <n v="624"/>
    <n v="198"/>
    <n v="31.73"/>
    <x v="3"/>
    <x v="0"/>
    <x v="0"/>
    <s v="700-900|80-99.99|3"/>
    <s v="25+"/>
    <x v="0"/>
    <x v="0"/>
  </r>
  <r>
    <n v="2390"/>
    <n v="751"/>
    <n v="31.42"/>
    <x v="0"/>
    <x v="0"/>
    <x v="2"/>
    <s v="000|80-99.99|1"/>
    <s v="25+"/>
    <x v="0"/>
    <x v="0"/>
  </r>
  <r>
    <n v="8237"/>
    <n v="2545"/>
    <n v="30.9"/>
    <x v="2"/>
    <x v="0"/>
    <x v="3"/>
    <s v="300-599|80-99.99|0"/>
    <s v="25+"/>
    <x v="0"/>
    <x v="0"/>
  </r>
  <r>
    <n v="118"/>
    <n v="36"/>
    <n v="30.51"/>
    <x v="2"/>
    <x v="3"/>
    <x v="1"/>
    <s v="300-599|60-69.99|2"/>
    <s v="25+"/>
    <x v="0"/>
    <x v="0"/>
  </r>
  <r>
    <n v="927"/>
    <n v="272"/>
    <n v="29.34"/>
    <x v="1"/>
    <x v="0"/>
    <x v="2"/>
    <s v="001-100|80-99.99|1"/>
    <s v="25+"/>
    <x v="0"/>
    <x v="0"/>
  </r>
  <r>
    <n v="900"/>
    <n v="258"/>
    <n v="28.67"/>
    <x v="2"/>
    <x v="1"/>
    <x v="2"/>
    <s v="300-599|75-79.99|1"/>
    <s v="25+"/>
    <x v="0"/>
    <x v="0"/>
  </r>
  <r>
    <n v="245"/>
    <n v="70"/>
    <n v="28.57"/>
    <x v="5"/>
    <x v="0"/>
    <x v="0"/>
    <s v="650-699|80-99.99|3"/>
    <s v="25+"/>
    <x v="0"/>
    <x v="0"/>
  </r>
  <r>
    <n v="3651"/>
    <n v="1042"/>
    <n v="28.54"/>
    <x v="2"/>
    <x v="2"/>
    <x v="3"/>
    <s v="300-599|70-74.99|0"/>
    <s v="25+"/>
    <x v="0"/>
    <x v="0"/>
  </r>
  <r>
    <n v="33550"/>
    <n v="9460"/>
    <n v="28.2"/>
    <x v="0"/>
    <x v="0"/>
    <x v="3"/>
    <s v="000|80-99.99|0"/>
    <s v="25+"/>
    <x v="0"/>
    <x v="0"/>
  </r>
  <r>
    <n v="305"/>
    <n v="86"/>
    <n v="28.2"/>
    <x v="5"/>
    <x v="0"/>
    <x v="1"/>
    <s v="650-699|80-99.99|2"/>
    <s v="25+"/>
    <x v="0"/>
    <x v="0"/>
  </r>
  <r>
    <n v="914"/>
    <n v="254"/>
    <n v="27.79"/>
    <x v="3"/>
    <x v="0"/>
    <x v="1"/>
    <s v="700-900|80-99.99|2"/>
    <s v="25+"/>
    <x v="0"/>
    <x v="0"/>
  </r>
  <r>
    <n v="633"/>
    <n v="174"/>
    <n v="27.49"/>
    <x v="2"/>
    <x v="2"/>
    <x v="2"/>
    <s v="300-599|70-74.99|1"/>
    <s v="25+"/>
    <x v="0"/>
    <x v="0"/>
  </r>
  <r>
    <n v="257"/>
    <n v="70"/>
    <n v="27.24"/>
    <x v="2"/>
    <x v="1"/>
    <x v="1"/>
    <s v="300-599|75-79.99|2"/>
    <s v="25+"/>
    <x v="0"/>
    <x v="0"/>
  </r>
  <r>
    <n v="4250"/>
    <n v="1151"/>
    <n v="27.08"/>
    <x v="2"/>
    <x v="1"/>
    <x v="3"/>
    <s v="300-599|75-79.99|0"/>
    <s v="25+"/>
    <x v="0"/>
    <x v="0"/>
  </r>
  <r>
    <n v="639"/>
    <n v="173"/>
    <n v="27.07"/>
    <x v="4"/>
    <x v="0"/>
    <x v="2"/>
    <s v="600-649|80-99.99|1"/>
    <s v="25+"/>
    <x v="0"/>
    <x v="0"/>
  </r>
  <r>
    <n v="184"/>
    <n v="49"/>
    <n v="26.63"/>
    <x v="3"/>
    <x v="3"/>
    <x v="0"/>
    <s v="700-900|60-69.99|3"/>
    <s v="25+"/>
    <x v="0"/>
    <x v="0"/>
  </r>
  <r>
    <n v="264"/>
    <n v="70"/>
    <n v="26.52"/>
    <x v="4"/>
    <x v="1"/>
    <x v="2"/>
    <s v="600-649|75-79.99|1"/>
    <s v="25+"/>
    <x v="0"/>
    <x v="0"/>
  </r>
  <r>
    <n v="167"/>
    <n v="44"/>
    <n v="26.35"/>
    <x v="2"/>
    <x v="2"/>
    <x v="1"/>
    <s v="300-599|70-74.99|2"/>
    <s v="25+"/>
    <x v="0"/>
    <x v="0"/>
  </r>
  <r>
    <n v="128"/>
    <n v="33"/>
    <n v="25.78"/>
    <x v="5"/>
    <x v="1"/>
    <x v="1"/>
    <s v="650-699|75-79.99|2"/>
    <s v="25+"/>
    <x v="0"/>
    <x v="0"/>
  </r>
  <r>
    <n v="3303"/>
    <n v="829"/>
    <n v="25.1"/>
    <x v="4"/>
    <x v="0"/>
    <x v="3"/>
    <s v="600-649|80-99.99|0"/>
    <s v="25+"/>
    <x v="0"/>
    <x v="0"/>
  </r>
  <r>
    <n v="381"/>
    <n v="95"/>
    <n v="24.93"/>
    <x v="3"/>
    <x v="1"/>
    <x v="1"/>
    <s v="700-900|75-79.99|2"/>
    <s v="20-24"/>
    <x v="1"/>
    <x v="1"/>
  </r>
  <r>
    <n v="1275"/>
    <n v="312"/>
    <n v="24.47"/>
    <x v="0"/>
    <x v="1"/>
    <x v="2"/>
    <s v="000|75-79.99|1"/>
    <s v="20-24"/>
    <x v="1"/>
    <x v="1"/>
  </r>
  <r>
    <n v="419"/>
    <n v="102"/>
    <n v="24.34"/>
    <x v="1"/>
    <x v="1"/>
    <x v="2"/>
    <s v="001-100|75-79.99|1"/>
    <s v="20-24"/>
    <x v="1"/>
    <x v="1"/>
  </r>
  <r>
    <n v="20853"/>
    <n v="5074"/>
    <n v="24.33"/>
    <x v="0"/>
    <x v="1"/>
    <x v="3"/>
    <s v="000|75-79.99|0"/>
    <s v="20-24"/>
    <x v="1"/>
    <x v="1"/>
  </r>
  <r>
    <n v="157"/>
    <n v="38"/>
    <n v="24.2"/>
    <x v="0"/>
    <x v="2"/>
    <x v="1"/>
    <s v="000|70-74.99|2"/>
    <s v="20-24"/>
    <x v="1"/>
    <x v="1"/>
  </r>
  <r>
    <n v="3492"/>
    <n v="841"/>
    <n v="24.08"/>
    <x v="1"/>
    <x v="0"/>
    <x v="3"/>
    <s v="001-100|80-99.99|0"/>
    <s v="20-24"/>
    <x v="1"/>
    <x v="1"/>
  </r>
  <r>
    <n v="268"/>
    <n v="64"/>
    <n v="23.88"/>
    <x v="3"/>
    <x v="2"/>
    <x v="1"/>
    <s v="700-900|70-74.99|2"/>
    <s v="20-24"/>
    <x v="1"/>
    <x v="1"/>
  </r>
  <r>
    <n v="3200"/>
    <n v="752"/>
    <n v="23.5"/>
    <x v="3"/>
    <x v="0"/>
    <x v="2"/>
    <s v="700-900|80-99.99|1"/>
    <s v="20-24"/>
    <x v="1"/>
    <x v="1"/>
  </r>
  <r>
    <n v="1735"/>
    <n v="404"/>
    <n v="23.29"/>
    <x v="4"/>
    <x v="1"/>
    <x v="3"/>
    <s v="600-649|75-79.99|0"/>
    <s v="20-24"/>
    <x v="1"/>
    <x v="1"/>
  </r>
  <r>
    <n v="20079"/>
    <n v="4672"/>
    <n v="23.27"/>
    <x v="0"/>
    <x v="2"/>
    <x v="3"/>
    <s v="000|70-74.99|0"/>
    <s v="20-24"/>
    <x v="1"/>
    <x v="1"/>
  </r>
  <r>
    <n v="924"/>
    <n v="214"/>
    <n v="23.16"/>
    <x v="5"/>
    <x v="0"/>
    <x v="2"/>
    <s v="650-699|80-99.99|1"/>
    <s v="20-24"/>
    <x v="1"/>
    <x v="1"/>
  </r>
  <r>
    <n v="537"/>
    <n v="123"/>
    <n v="22.91"/>
    <x v="2"/>
    <x v="3"/>
    <x v="2"/>
    <s v="300-599|60-69.99|1"/>
    <s v="20-24"/>
    <x v="1"/>
    <x v="1"/>
  </r>
  <r>
    <n v="3050"/>
    <n v="696"/>
    <n v="22.82"/>
    <x v="2"/>
    <x v="3"/>
    <x v="3"/>
    <s v="300-599|60-69.99|0"/>
    <s v="20-24"/>
    <x v="1"/>
    <x v="1"/>
  </r>
  <r>
    <n v="172"/>
    <n v="39"/>
    <n v="22.67"/>
    <x v="4"/>
    <x v="0"/>
    <x v="1"/>
    <s v="600-649|80-99.99|2"/>
    <s v="20-24"/>
    <x v="1"/>
    <x v="1"/>
  </r>
  <r>
    <n v="275"/>
    <n v="62"/>
    <n v="22.55"/>
    <x v="5"/>
    <x v="2"/>
    <x v="2"/>
    <s v="650-699|70-74.99|1"/>
    <s v="20-24"/>
    <x v="1"/>
    <x v="1"/>
  </r>
  <r>
    <n v="934"/>
    <n v="204"/>
    <n v="21.84"/>
    <x v="0"/>
    <x v="2"/>
    <x v="2"/>
    <s v="000|70-74.99|1"/>
    <s v="20-24"/>
    <x v="1"/>
    <x v="1"/>
  </r>
  <r>
    <n v="279"/>
    <n v="59"/>
    <n v="21.15"/>
    <x v="2"/>
    <x v="4"/>
    <x v="2"/>
    <s v="300-599|0-59.99|1"/>
    <s v="20-24"/>
    <x v="1"/>
    <x v="1"/>
  </r>
  <r>
    <n v="1902"/>
    <n v="402"/>
    <n v="21.14"/>
    <x v="1"/>
    <x v="1"/>
    <x v="3"/>
    <s v="001-100|75-79.99|0"/>
    <s v="20-24"/>
    <x v="1"/>
    <x v="1"/>
  </r>
  <r>
    <n v="879"/>
    <n v="184"/>
    <n v="20.93"/>
    <x v="3"/>
    <x v="3"/>
    <x v="2"/>
    <s v="700-900|60-69.99|1"/>
    <s v="20-24"/>
    <x v="1"/>
    <x v="1"/>
  </r>
  <r>
    <n v="1925"/>
    <n v="394"/>
    <n v="20.47"/>
    <x v="2"/>
    <x v="4"/>
    <x v="3"/>
    <s v="300-599|0-59.99|0"/>
    <s v="20-24"/>
    <x v="1"/>
    <x v="1"/>
  </r>
  <r>
    <n v="347"/>
    <n v="71"/>
    <n v="20.46"/>
    <x v="1"/>
    <x v="2"/>
    <x v="2"/>
    <s v="001-100|70-74.99|1"/>
    <s v="20-24"/>
    <x v="1"/>
    <x v="1"/>
  </r>
  <r>
    <n v="1487"/>
    <n v="300"/>
    <n v="20.170000000000002"/>
    <x v="4"/>
    <x v="2"/>
    <x v="3"/>
    <s v="600-649|70-74.99|0"/>
    <s v="20-24"/>
    <x v="1"/>
    <x v="1"/>
  </r>
  <r>
    <n v="1401"/>
    <n v="281"/>
    <n v="20.059999999999999"/>
    <x v="3"/>
    <x v="1"/>
    <x v="2"/>
    <s v="700-900|75-79.99|1"/>
    <s v="20-24"/>
    <x v="1"/>
    <x v="1"/>
  </r>
  <r>
    <n v="180"/>
    <n v="36"/>
    <n v="20"/>
    <x v="4"/>
    <x v="2"/>
    <x v="2"/>
    <s v="600-649|70-74.99|1"/>
    <s v="20-24"/>
    <x v="1"/>
    <x v="1"/>
  </r>
  <r>
    <n v="208"/>
    <n v="41"/>
    <n v="19.71"/>
    <x v="3"/>
    <x v="3"/>
    <x v="1"/>
    <s v="700-900|60-69.99|2"/>
    <s v="15-19"/>
    <x v="2"/>
    <x v="2"/>
  </r>
  <r>
    <n v="4038"/>
    <n v="792"/>
    <n v="19.61"/>
    <x v="5"/>
    <x v="0"/>
    <x v="3"/>
    <s v="650-699|80-99.99|0"/>
    <s v="15-19"/>
    <x v="2"/>
    <x v="2"/>
  </r>
  <r>
    <n v="352"/>
    <n v="69"/>
    <n v="19.600000000000001"/>
    <x v="5"/>
    <x v="1"/>
    <x v="2"/>
    <s v="650-699|75-79.99|1"/>
    <s v="15-19"/>
    <x v="2"/>
    <x v="2"/>
  </r>
  <r>
    <n v="162"/>
    <n v="31"/>
    <n v="19.14"/>
    <x v="4"/>
    <x v="3"/>
    <x v="2"/>
    <s v="600-649|60-69.99|1"/>
    <s v="15-19"/>
    <x v="2"/>
    <x v="2"/>
  </r>
  <r>
    <n v="1097"/>
    <n v="210"/>
    <n v="19.14"/>
    <x v="3"/>
    <x v="2"/>
    <x v="2"/>
    <s v="700-900|70-74.99|1"/>
    <s v="15-19"/>
    <x v="2"/>
    <x v="2"/>
  </r>
  <r>
    <n v="1758"/>
    <n v="332"/>
    <n v="18.89"/>
    <x v="1"/>
    <x v="2"/>
    <x v="3"/>
    <s v="001-100|70-74.99|0"/>
    <s v="15-19"/>
    <x v="2"/>
    <x v="2"/>
  </r>
  <r>
    <n v="266"/>
    <n v="50"/>
    <n v="18.8"/>
    <x v="1"/>
    <x v="3"/>
    <x v="2"/>
    <s v="001-100|60-69.99|1"/>
    <s v="15-19"/>
    <x v="2"/>
    <x v="2"/>
  </r>
  <r>
    <n v="20957"/>
    <n v="3921"/>
    <n v="18.71"/>
    <x v="0"/>
    <x v="3"/>
    <x v="3"/>
    <s v="000|60-69.99|0"/>
    <s v="15-19"/>
    <x v="2"/>
    <x v="2"/>
  </r>
  <r>
    <n v="1395"/>
    <n v="255"/>
    <n v="18.28"/>
    <x v="4"/>
    <x v="3"/>
    <x v="3"/>
    <s v="600-649|60-69.99|0"/>
    <s v="15-19"/>
    <x v="2"/>
    <x v="2"/>
  </r>
  <r>
    <n v="720"/>
    <n v="124"/>
    <n v="17.22"/>
    <x v="0"/>
    <x v="3"/>
    <x v="2"/>
    <s v="000|60-69.99|1"/>
    <s v="15-19"/>
    <x v="2"/>
    <x v="2"/>
  </r>
  <r>
    <n v="1697"/>
    <n v="290"/>
    <n v="17.09"/>
    <x v="5"/>
    <x v="2"/>
    <x v="3"/>
    <s v="650-699|70-74.99|0"/>
    <s v="15-19"/>
    <x v="2"/>
    <x v="2"/>
  </r>
  <r>
    <n v="488"/>
    <n v="82"/>
    <n v="16.8"/>
    <x v="3"/>
    <x v="4"/>
    <x v="2"/>
    <s v="700-900|0-59.99|1"/>
    <s v="15-19"/>
    <x v="2"/>
    <x v="2"/>
  </r>
  <r>
    <n v="15427"/>
    <n v="2584"/>
    <n v="16.75"/>
    <x v="3"/>
    <x v="0"/>
    <x v="3"/>
    <s v="700-900|80-99.99|0"/>
    <s v="15-19"/>
    <x v="2"/>
    <x v="2"/>
  </r>
  <r>
    <n v="1666"/>
    <n v="278"/>
    <n v="16.690000000000001"/>
    <x v="1"/>
    <x v="3"/>
    <x v="3"/>
    <s v="001-100|60-69.99|0"/>
    <s v="15-19"/>
    <x v="2"/>
    <x v="2"/>
  </r>
  <r>
    <n v="230"/>
    <n v="38"/>
    <n v="16.52"/>
    <x v="5"/>
    <x v="3"/>
    <x v="2"/>
    <s v="650-699|60-69.99|1"/>
    <s v="15-19"/>
    <x v="2"/>
    <x v="2"/>
  </r>
  <r>
    <n v="859"/>
    <n v="140"/>
    <n v="16.3"/>
    <x v="4"/>
    <x v="4"/>
    <x v="3"/>
    <s v="600-649|0-59.99|0"/>
    <s v="15-19"/>
    <x v="2"/>
    <x v="2"/>
  </r>
  <r>
    <n v="2078"/>
    <n v="330"/>
    <n v="15.88"/>
    <x v="5"/>
    <x v="1"/>
    <x v="3"/>
    <s v="650-699|75-79.99|0"/>
    <s v="15-19"/>
    <x v="2"/>
    <x v="2"/>
  </r>
  <r>
    <n v="103"/>
    <n v="16"/>
    <n v="15.53"/>
    <x v="0"/>
    <x v="3"/>
    <x v="1"/>
    <s v="000|60-69.99|2"/>
    <s v="15-19"/>
    <x v="2"/>
    <x v="2"/>
  </r>
  <r>
    <n v="167"/>
    <n v="25"/>
    <n v="14.97"/>
    <x v="1"/>
    <x v="4"/>
    <x v="2"/>
    <s v="001-100|0-59.99|1"/>
    <s v="0-14"/>
    <x v="3"/>
    <x v="3"/>
  </r>
  <r>
    <n v="1683"/>
    <n v="250"/>
    <n v="14.85"/>
    <x v="5"/>
    <x v="3"/>
    <x v="3"/>
    <s v="650-699|60-69.99|0"/>
    <s v="0-14"/>
    <x v="3"/>
    <x v="3"/>
  </r>
  <r>
    <n v="327"/>
    <n v="48"/>
    <n v="14.68"/>
    <x v="0"/>
    <x v="4"/>
    <x v="2"/>
    <s v="000|0-59.99|1"/>
    <s v="0-14"/>
    <x v="3"/>
    <x v="3"/>
  </r>
  <r>
    <n v="8044"/>
    <n v="1160"/>
    <n v="14.42"/>
    <x v="3"/>
    <x v="1"/>
    <x v="3"/>
    <s v="700-900|75-79.99|0"/>
    <s v="0-14"/>
    <x v="3"/>
    <x v="3"/>
  </r>
  <r>
    <n v="14569"/>
    <n v="2080"/>
    <n v="14.28"/>
    <x v="0"/>
    <x v="4"/>
    <x v="3"/>
    <s v="000|0-59.99|0"/>
    <s v="0-14"/>
    <x v="3"/>
    <x v="3"/>
  </r>
  <r>
    <n v="1056"/>
    <n v="144"/>
    <n v="13.64"/>
    <x v="5"/>
    <x v="4"/>
    <x v="3"/>
    <s v="650-699|0-59.99|0"/>
    <s v="0-14"/>
    <x v="3"/>
    <x v="3"/>
  </r>
  <r>
    <n v="6645"/>
    <n v="866"/>
    <n v="13.03"/>
    <x v="3"/>
    <x v="2"/>
    <x v="3"/>
    <s v="700-900|70-74.99|0"/>
    <s v="0-14"/>
    <x v="3"/>
    <x v="3"/>
  </r>
  <r>
    <n v="1139"/>
    <n v="142"/>
    <n v="12.47"/>
    <x v="1"/>
    <x v="4"/>
    <x v="3"/>
    <s v="001-100|0-59.99|0"/>
    <s v="0-14"/>
    <x v="3"/>
    <x v="3"/>
  </r>
  <r>
    <n v="6852"/>
    <n v="776"/>
    <n v="11.33"/>
    <x v="3"/>
    <x v="3"/>
    <x v="3"/>
    <s v="700-900|60-69.99|0"/>
    <s v="0-14"/>
    <x v="3"/>
    <x v="3"/>
  </r>
  <r>
    <n v="4584"/>
    <n v="407"/>
    <n v="8.8800000000000008"/>
    <x v="3"/>
    <x v="4"/>
    <x v="3"/>
    <s v="700-900|0-59.99|0"/>
    <s v="0-14"/>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E34148-3D5E-4B32-89D0-AEE2AACA8694}"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redit Segment" colHeaderCaption="Inquiries">
  <location ref="B63:H71" firstHeaderRow="1" firstDataRow="2" firstDataCol="1"/>
  <pivotFields count="11">
    <pivotField showAll="0"/>
    <pivotField showAll="0"/>
    <pivotField showAll="0"/>
    <pivotField axis="axisRow" showAll="0" sortType="descending">
      <items count="7">
        <item x="3"/>
        <item x="5"/>
        <item x="4"/>
        <item x="2"/>
        <item x="1"/>
        <item x="0"/>
        <item t="default"/>
      </items>
    </pivotField>
    <pivotField axis="axisCol" showAll="0">
      <items count="7">
        <item x="4"/>
        <item x="3"/>
        <item x="2"/>
        <item x="1"/>
        <item m="1" x="5"/>
        <item x="0"/>
        <item t="default"/>
      </items>
    </pivotField>
    <pivotField showAll="0">
      <items count="5">
        <item x="3"/>
        <item x="2"/>
        <item x="1"/>
        <item x="0"/>
        <item t="default"/>
      </items>
    </pivotField>
    <pivotField showAll="0"/>
    <pivotField showAll="0"/>
    <pivotField showAll="0"/>
    <pivotField showAll="0"/>
    <pivotField dataField="1" dragToRow="0" dragToCol="0" dragToPage="0" showAll="0" defaultSubtotal="0"/>
  </pivotFields>
  <rowFields count="1">
    <field x="3"/>
  </rowFields>
  <rowItems count="7">
    <i>
      <x/>
    </i>
    <i>
      <x v="1"/>
    </i>
    <i>
      <x v="2"/>
    </i>
    <i>
      <x v="3"/>
    </i>
    <i>
      <x v="4"/>
    </i>
    <i>
      <x v="5"/>
    </i>
    <i t="grand">
      <x/>
    </i>
  </rowItems>
  <colFields count="1">
    <field x="4"/>
  </colFields>
  <colItems count="6">
    <i>
      <x/>
    </i>
    <i>
      <x v="1"/>
    </i>
    <i>
      <x v="2"/>
    </i>
    <i>
      <x v="3"/>
    </i>
    <i>
      <x v="5"/>
    </i>
    <i t="grand">
      <x/>
    </i>
  </colItems>
  <dataFields count="1">
    <dataField name="," fld="10" baseField="0" baseItem="0" numFmtId="10"/>
  </dataFields>
  <formats count="37">
    <format dxfId="190">
      <pivotArea outline="0" collapsedLevelsAreSubtotals="1" fieldPosition="0"/>
    </format>
    <format dxfId="191">
      <pivotArea type="origin" dataOnly="0" labelOnly="1" outline="0" fieldPosition="0"/>
    </format>
    <format dxfId="192">
      <pivotArea field="5" type="button" dataOnly="0" labelOnly="1" outline="0"/>
    </format>
    <format dxfId="193">
      <pivotArea type="all" dataOnly="0" outline="0" fieldPosition="0"/>
    </format>
    <format dxfId="194">
      <pivotArea type="origin" dataOnly="0" labelOnly="1" outline="0" fieldPosition="0"/>
    </format>
    <format dxfId="195">
      <pivotArea field="5" type="button" dataOnly="0" labelOnly="1" outline="0"/>
    </format>
    <format dxfId="196">
      <pivotArea field="5" type="button" dataOnly="0" labelOnly="1" outline="0"/>
    </format>
    <format dxfId="197">
      <pivotArea type="origin" dataOnly="0" labelOnly="1" outline="0" fieldPosition="0"/>
    </format>
    <format dxfId="198">
      <pivotArea field="5" type="button" dataOnly="0" labelOnly="1" outline="0"/>
    </format>
    <format dxfId="199">
      <pivotArea field="3" type="button" dataOnly="0" labelOnly="1" outline="0" axis="axisRow" fieldPosition="0"/>
    </format>
    <format dxfId="200">
      <pivotArea dataOnly="0" labelOnly="1" grandCol="1" outline="0" fieldPosition="0"/>
    </format>
    <format dxfId="201">
      <pivotArea grandRow="1" outline="0" collapsedLevelsAreSubtotals="1" fieldPosition="0"/>
    </format>
    <format dxfId="202">
      <pivotArea dataOnly="0" labelOnly="1" grandRow="1" outline="0" fieldPosition="0"/>
    </format>
    <format dxfId="203">
      <pivotArea field="3" type="button" dataOnly="0" labelOnly="1" outline="0" axis="axisRow" fieldPosition="0"/>
    </format>
    <format dxfId="204">
      <pivotArea dataOnly="0" labelOnly="1" grandCol="1" outline="0" fieldPosition="0"/>
    </format>
    <format dxfId="205">
      <pivotArea grandRow="1" outline="0" collapsedLevelsAreSubtotals="1" fieldPosition="0"/>
    </format>
    <format dxfId="206">
      <pivotArea dataOnly="0" labelOnly="1" grandRow="1" outline="0" fieldPosition="0"/>
    </format>
    <format dxfId="51">
      <pivotArea type="all" dataOnly="0" outline="0" fieldPosition="0"/>
    </format>
    <format dxfId="42">
      <pivotArea dataOnly="0" labelOnly="1" fieldPosition="0">
        <references count="1">
          <reference field="4" count="0"/>
        </references>
      </pivotArea>
    </format>
    <format dxfId="39">
      <pivotArea grandRow="1" outline="0" collapsedLevelsAreSubtotals="1" fieldPosition="0"/>
    </format>
    <format dxfId="38">
      <pivotArea dataOnly="0" labelOnly="1" grandRow="1" outline="0" fieldPosition="0"/>
    </format>
    <format dxfId="36">
      <pivotArea collapsedLevelsAreSubtotals="1" fieldPosition="0">
        <references count="1">
          <reference field="3" count="0"/>
        </references>
      </pivotArea>
    </format>
    <format dxfId="34">
      <pivotArea dataOnly="0" labelOnly="1" fieldPosition="0">
        <references count="1">
          <reference field="4" count="0"/>
        </references>
      </pivotArea>
    </format>
    <format dxfId="33">
      <pivotArea grandRow="1" outline="0" collapsedLevelsAreSubtotals="1" fieldPosition="0"/>
    </format>
    <format dxfId="32">
      <pivotArea dataOnly="0" labelOnly="1" grandRow="1" outline="0" fieldPosition="0"/>
    </format>
    <format dxfId="31">
      <pivotArea type="all" dataOnly="0" outline="0" fieldPosition="0"/>
    </format>
    <format dxfId="20">
      <pivotArea outline="0" collapsedLevelsAreSubtotals="1" fieldPosition="0"/>
    </format>
    <format dxfId="18">
      <pivotArea type="origin" dataOnly="0" labelOnly="1" outline="0" fieldPosition="0"/>
    </format>
    <format dxfId="16">
      <pivotArea field="4" type="button" dataOnly="0" labelOnly="1" outline="0" axis="axisCol" fieldPosition="0"/>
    </format>
    <format dxfId="14">
      <pivotArea type="topRight" dataOnly="0" labelOnly="1" outline="0" fieldPosition="0"/>
    </format>
    <format dxfId="12">
      <pivotArea field="3" type="button" dataOnly="0" labelOnly="1" outline="0" axis="axisRow" fieldPosition="0"/>
    </format>
    <format dxfId="9">
      <pivotArea dataOnly="0" labelOnly="1" fieldPosition="0">
        <references count="1">
          <reference field="4" count="0"/>
        </references>
      </pivotArea>
    </format>
    <format dxfId="8">
      <pivotArea dataOnly="0" labelOnly="1" grandCol="1" outline="0" fieldPosition="0"/>
    </format>
    <format dxfId="6">
      <pivotArea grandRow="1" outline="0" collapsedLevelsAreSubtotals="1" fieldPosition="0"/>
    </format>
    <format dxfId="5">
      <pivotArea dataOnly="0" labelOnly="1" grandRow="1" outline="0" fieldPosition="0"/>
    </format>
    <format dxfId="3">
      <pivotArea dataOnly="0" labelOnly="1" fieldPosition="0">
        <references count="1">
          <reference field="3" count="0"/>
        </references>
      </pivotArea>
    </format>
    <format dxfId="1">
      <pivotArea field="3" grandCol="1" collapsedLevelsAreSubtotals="1" axis="axisRow" fieldPosition="0">
        <references count="1">
          <reference field="3" count="0"/>
        </references>
      </pivotArea>
    </format>
  </formats>
  <conditionalFormats count="2">
    <conditionalFormat priority="2">
      <pivotAreas count="1">
        <pivotArea type="data" collapsedLevelsAreSubtotals="1" fieldPosition="0">
          <references count="3">
            <reference field="4294967294" count="1" selected="0">
              <x v="0"/>
            </reference>
            <reference field="3" count="6">
              <x v="0"/>
              <x v="1"/>
              <x v="2"/>
              <x v="3"/>
              <x v="4"/>
              <x v="5"/>
            </reference>
            <reference field="4" count="5" selected="0">
              <x v="0"/>
              <x v="1"/>
              <x v="2"/>
              <x v="3"/>
              <x v="4"/>
            </reference>
          </references>
        </pivotArea>
      </pivotAreas>
    </conditionalFormat>
    <conditionalFormat priority="1">
      <pivotAreas count="1">
        <pivotArea type="data" collapsedLevelsAreSubtotals="1" fieldPosition="0">
          <references count="3">
            <reference field="4294967294" count="1" selected="0">
              <x v="0"/>
            </reference>
            <reference field="3" count="6">
              <x v="0"/>
              <x v="1"/>
              <x v="2"/>
              <x v="3"/>
              <x v="4"/>
              <x v="5"/>
            </reference>
            <reference field="4" count="5" selected="0">
              <x v="0"/>
              <x v="1"/>
              <x v="2"/>
              <x v="3"/>
              <x v="5"/>
            </reference>
          </references>
        </pivotArea>
      </pivotAreas>
    </conditionalFormat>
  </conditionalFormats>
  <chartFormats count="5">
    <chartFormat chart="3" format="0" series="1">
      <pivotArea type="data" outline="0" fieldPosition="0">
        <references count="2">
          <reference field="4294967294" count="1" selected="0">
            <x v="0"/>
          </reference>
          <reference field="4" count="1" selected="0">
            <x v="0"/>
          </reference>
        </references>
      </pivotArea>
    </chartFormat>
    <chartFormat chart="3" format="1" series="1">
      <pivotArea type="data" outline="0" fieldPosition="0">
        <references count="2">
          <reference field="4294967294" count="1" selected="0">
            <x v="0"/>
          </reference>
          <reference field="4" count="1" selected="0">
            <x v="1"/>
          </reference>
        </references>
      </pivotArea>
    </chartFormat>
    <chartFormat chart="3" format="2" series="1">
      <pivotArea type="data" outline="0" fieldPosition="0">
        <references count="2">
          <reference field="4294967294" count="1" selected="0">
            <x v="0"/>
          </reference>
          <reference field="4" count="1" selected="0">
            <x v="2"/>
          </reference>
        </references>
      </pivotArea>
    </chartFormat>
    <chartFormat chart="3" format="3" series="1">
      <pivotArea type="data" outline="0" fieldPosition="0">
        <references count="2">
          <reference field="4294967294" count="1" selected="0">
            <x v="0"/>
          </reference>
          <reference field="4" count="1" selected="0">
            <x v="3"/>
          </reference>
        </references>
      </pivotArea>
    </chartFormat>
    <chartFormat chart="3" format="4" series="1">
      <pivotArea type="data" outline="0" fieldPosition="0">
        <references count="2">
          <reference field="4294967294" count="1" selected="0">
            <x v="0"/>
          </reference>
          <reference field="4" count="1" selected="0">
            <x v="5"/>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9B2208-2303-495A-99E3-6E4713AAF66A}"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redit Segment" colHeaderCaption="Inquiries">
  <location ref="B29:G37" firstHeaderRow="1" firstDataRow="2" firstDataCol="1"/>
  <pivotFields count="11">
    <pivotField showAll="0"/>
    <pivotField showAll="0"/>
    <pivotField showAll="0"/>
    <pivotField axis="axisRow" showAll="0" sortType="descending">
      <items count="7">
        <item x="3"/>
        <item x="5"/>
        <item x="4"/>
        <item x="2"/>
        <item x="1"/>
        <item x="0"/>
        <item t="default"/>
      </items>
    </pivotField>
    <pivotField showAll="0"/>
    <pivotField axis="axisCol" showAll="0">
      <items count="5">
        <item x="3"/>
        <item x="2"/>
        <item x="1"/>
        <item x="0"/>
        <item t="default"/>
      </items>
    </pivotField>
    <pivotField showAll="0"/>
    <pivotField showAll="0"/>
    <pivotField showAll="0"/>
    <pivotField showAll="0"/>
    <pivotField dataField="1" dragToRow="0" dragToCol="0" dragToPage="0" showAll="0" defaultSubtotal="0"/>
  </pivotFields>
  <rowFields count="1">
    <field x="3"/>
  </rowFields>
  <rowItems count="7">
    <i>
      <x/>
    </i>
    <i>
      <x v="1"/>
    </i>
    <i>
      <x v="2"/>
    </i>
    <i>
      <x v="3"/>
    </i>
    <i>
      <x v="4"/>
    </i>
    <i>
      <x v="5"/>
    </i>
    <i t="grand">
      <x/>
    </i>
  </rowItems>
  <colFields count="1">
    <field x="5"/>
  </colFields>
  <colItems count="5">
    <i>
      <x/>
    </i>
    <i>
      <x v="1"/>
    </i>
    <i>
      <x v="2"/>
    </i>
    <i>
      <x v="3"/>
    </i>
    <i t="grand">
      <x/>
    </i>
  </colItems>
  <dataFields count="1">
    <dataField name="," fld="10" baseField="0" baseItem="0" numFmtId="10"/>
  </dataFields>
  <formats count="29">
    <format dxfId="237">
      <pivotArea outline="0" collapsedLevelsAreSubtotals="1" fieldPosition="0"/>
    </format>
    <format dxfId="238">
      <pivotArea type="origin" dataOnly="0" labelOnly="1" outline="0" fieldPosition="0"/>
    </format>
    <format dxfId="239">
      <pivotArea field="5" type="button" dataOnly="0" labelOnly="1" outline="0" axis="axisCol" fieldPosition="0"/>
    </format>
    <format dxfId="240">
      <pivotArea type="all" dataOnly="0" outline="0" fieldPosition="0"/>
    </format>
    <format dxfId="241">
      <pivotArea outline="0" collapsedLevelsAreSubtotals="1" fieldPosition="0"/>
    </format>
    <format dxfId="242">
      <pivotArea type="origin" dataOnly="0" labelOnly="1" outline="0" fieldPosition="0"/>
    </format>
    <format dxfId="243">
      <pivotArea field="5" type="button" dataOnly="0" labelOnly="1" outline="0" axis="axisCol" fieldPosition="0"/>
    </format>
    <format dxfId="244">
      <pivotArea dataOnly="0" labelOnly="1" fieldPosition="0">
        <references count="1">
          <reference field="5" count="0"/>
        </references>
      </pivotArea>
    </format>
    <format dxfId="236">
      <pivotArea field="5" type="button" dataOnly="0" labelOnly="1" outline="0" axis="axisCol" fieldPosition="0"/>
    </format>
    <format dxfId="235">
      <pivotArea dataOnly="0" labelOnly="1" fieldPosition="0">
        <references count="1">
          <reference field="5" count="3">
            <x v="0"/>
            <x v="1"/>
            <x v="2"/>
          </reference>
        </references>
      </pivotArea>
    </format>
    <format dxfId="234">
      <pivotArea dataOnly="0" labelOnly="1" fieldPosition="0">
        <references count="1">
          <reference field="5" count="1">
            <x v="3"/>
          </reference>
        </references>
      </pivotArea>
    </format>
    <format dxfId="233">
      <pivotArea type="origin" dataOnly="0" labelOnly="1" outline="0" fieldPosition="0"/>
    </format>
    <format dxfId="232">
      <pivotArea dataOnly="0" labelOnly="1" fieldPosition="0">
        <references count="1">
          <reference field="3" count="0"/>
        </references>
      </pivotArea>
    </format>
    <format dxfId="230">
      <pivotArea field="3" grandCol="1" collapsedLevelsAreSubtotals="1" axis="axisRow" fieldPosition="0">
        <references count="1">
          <reference field="3" count="0"/>
        </references>
      </pivotArea>
    </format>
    <format dxfId="223">
      <pivotArea type="origin" dataOnly="0" labelOnly="1" outline="0" fieldPosition="0"/>
    </format>
    <format dxfId="222">
      <pivotArea field="5" type="button" dataOnly="0" labelOnly="1" outline="0" axis="axisCol" fieldPosition="0"/>
    </format>
    <format dxfId="221">
      <pivotArea type="topRight" dataOnly="0" labelOnly="1" outline="0" fieldPosition="0"/>
    </format>
    <format dxfId="219">
      <pivotArea field="3" type="button" dataOnly="0" labelOnly="1" outline="0" axis="axisRow" fieldPosition="0"/>
    </format>
    <format dxfId="217">
      <pivotArea dataOnly="0" labelOnly="1" fieldPosition="0">
        <references count="1">
          <reference field="5" count="0"/>
        </references>
      </pivotArea>
    </format>
    <format dxfId="216">
      <pivotArea dataOnly="0" labelOnly="1" grandCol="1" outline="0" fieldPosition="0"/>
    </format>
    <format dxfId="214">
      <pivotArea grandRow="1" outline="0" collapsedLevelsAreSubtotals="1" fieldPosition="0"/>
    </format>
    <format dxfId="213">
      <pivotArea dataOnly="0" labelOnly="1" grandRow="1" outline="0" fieldPosition="0"/>
    </format>
    <format dxfId="211">
      <pivotArea field="3" type="button" dataOnly="0" labelOnly="1" outline="0" axis="axisRow" fieldPosition="0"/>
    </format>
    <format dxfId="210">
      <pivotArea dataOnly="0" labelOnly="1" fieldPosition="0">
        <references count="1">
          <reference field="5" count="0"/>
        </references>
      </pivotArea>
    </format>
    <format dxfId="209">
      <pivotArea dataOnly="0" labelOnly="1" grandCol="1" outline="0" fieldPosition="0"/>
    </format>
    <format dxfId="208">
      <pivotArea grandRow="1" outline="0" collapsedLevelsAreSubtotals="1" fieldPosition="0"/>
    </format>
    <format dxfId="207">
      <pivotArea dataOnly="0" labelOnly="1" grandRow="1" outline="0" fieldPosition="0"/>
    </format>
    <format dxfId="54">
      <pivotArea dataOnly="0" labelOnly="1" fieldPosition="0">
        <references count="1">
          <reference field="5" count="0"/>
        </references>
      </pivotArea>
    </format>
    <format dxfId="52">
      <pivotArea field="5" type="button" dataOnly="0" labelOnly="1" outline="0" axis="axisCol" fieldPosition="0"/>
    </format>
  </formats>
  <chartFormats count="4">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8DAFC1-B65D-44B7-A5EE-8E4F4271C679}" name="PivotTable1" cacheId="23" applyNumberFormats="0" applyBorderFormats="0" applyFontFormats="0" applyPatternFormats="0" applyAlignmentFormats="0" applyWidthHeightFormats="1" dataCaption="Values" showError="1" updatedVersion="8" minRefreshableVersion="3" useAutoFormatting="1" itemPrintTitles="1" createdVersion="8" indent="0" outline="1" outlineData="1" multipleFieldFilters="0" chartFormat="53" rowHeaderCaption="Risk Tier Label" colHeaderCaption="LTV">
  <location ref="B20:G25" firstHeaderRow="0" firstDataRow="1" firstDataCol="1"/>
  <pivotFields count="11">
    <pivotField dataField="1" showAll="0"/>
    <pivotField dataField="1" showAll="0"/>
    <pivotField showAll="0"/>
    <pivotField showAll="0">
      <items count="7">
        <item x="0"/>
        <item x="1"/>
        <item x="2"/>
        <item x="4"/>
        <item x="5"/>
        <item x="3"/>
        <item t="default"/>
      </items>
    </pivotField>
    <pivotField showAll="0">
      <items count="7">
        <item x="4"/>
        <item x="3"/>
        <item x="2"/>
        <item x="1"/>
        <item m="1" x="5"/>
        <item x="0"/>
        <item t="default"/>
      </items>
    </pivotField>
    <pivotField showAll="0">
      <items count="5">
        <item x="3"/>
        <item x="2"/>
        <item x="1"/>
        <item x="0"/>
        <item t="default"/>
      </items>
    </pivotField>
    <pivotField showAll="0"/>
    <pivotField showAll="0"/>
    <pivotField showAll="0">
      <items count="5">
        <item x="3"/>
        <item x="2"/>
        <item x="1"/>
        <item x="0"/>
        <item t="default"/>
      </items>
    </pivotField>
    <pivotField axis="axisRow" showAll="0">
      <items count="5">
        <item x="3"/>
        <item x="2"/>
        <item x="1"/>
        <item x="0"/>
        <item t="default"/>
      </items>
    </pivotField>
    <pivotField dataField="1" dragToRow="0" dragToCol="0" dragToPage="0" showAll="0" defaultSubtotal="0"/>
  </pivotFields>
  <rowFields count="1">
    <field x="9"/>
  </rowFields>
  <rowItems count="5">
    <i>
      <x/>
    </i>
    <i>
      <x v="1"/>
    </i>
    <i>
      <x v="2"/>
    </i>
    <i>
      <x v="3"/>
    </i>
    <i t="grand">
      <x/>
    </i>
  </rowItems>
  <colFields count="1">
    <field x="-2"/>
  </colFields>
  <colItems count="5">
    <i>
      <x/>
    </i>
    <i i="1">
      <x v="1"/>
    </i>
    <i i="2">
      <x v="2"/>
    </i>
    <i i="3">
      <x v="3"/>
    </i>
    <i i="4">
      <x v="4"/>
    </i>
  </colItems>
  <dataFields count="5">
    <dataField name="# Loans" fld="0" baseField="0" baseItem="0" numFmtId="164"/>
    <dataField name="# Defaults" fld="1" baseField="0" baseItem="0" numFmtId="164"/>
    <dataField name="Default Rate" fld="10" baseField="0" baseItem="0" numFmtId="10"/>
    <dataField name="% of Total Portfolio" fld="0" showDataAs="percentOfTotal" baseField="8" baseItem="0" numFmtId="10"/>
    <dataField name="% of Total Defaults" fld="1" showDataAs="percentOfTotal" baseField="8" baseItem="0" numFmtId="10"/>
  </dataFields>
  <formats count="37">
    <format dxfId="277">
      <pivotArea outline="0" collapsedLevelsAreSubtotals="1" fieldPosition="0"/>
    </format>
    <format dxfId="276">
      <pivotArea type="origin" dataOnly="0" labelOnly="1" outline="0" fieldPosition="0"/>
    </format>
    <format dxfId="275">
      <pivotArea type="origin" dataOnly="0" labelOnly="1" outline="0" fieldPosition="0"/>
    </format>
    <format dxfId="274">
      <pivotArea field="8" type="button" dataOnly="0" labelOnly="1" outline="0"/>
    </format>
    <format dxfId="273">
      <pivotArea dataOnly="0" labelOnly="1" grandRow="1" outline="0" fieldPosition="0"/>
    </format>
    <format dxfId="272">
      <pivotArea type="all" dataOnly="0" outline="0" fieldPosition="0"/>
    </format>
    <format dxfId="271">
      <pivotArea outline="0" collapsedLevelsAreSubtotals="1" fieldPosition="0">
        <references count="1">
          <reference field="4294967294" count="2" selected="0">
            <x v="0"/>
            <x v="1"/>
          </reference>
        </references>
      </pivotArea>
    </format>
    <format dxfId="270">
      <pivotArea outline="0" collapsedLevelsAreSubtotals="1" fieldPosition="0">
        <references count="1">
          <reference field="4294967294" count="2" selected="0">
            <x v="0"/>
            <x v="1"/>
          </reference>
        </references>
      </pivotArea>
    </format>
    <format dxfId="269">
      <pivotArea dataOnly="0" labelOnly="1" outline="0" fieldPosition="0">
        <references count="1">
          <reference field="4294967294" count="2">
            <x v="0"/>
            <x v="1"/>
          </reference>
        </references>
      </pivotArea>
    </format>
    <format dxfId="268">
      <pivotArea outline="0" fieldPosition="0">
        <references count="1">
          <reference field="4294967294" count="1">
            <x v="3"/>
          </reference>
        </references>
      </pivotArea>
    </format>
    <format dxfId="267">
      <pivotArea outline="0" fieldPosition="0">
        <references count="1">
          <reference field="4294967294" count="1">
            <x v="4"/>
          </reference>
        </references>
      </pivotArea>
    </format>
    <format dxfId="266">
      <pivotArea type="all" dataOnly="0" outline="0" fieldPosition="0"/>
    </format>
    <format dxfId="265">
      <pivotArea outline="0" collapsedLevelsAreSubtotals="1" fieldPosition="0"/>
    </format>
    <format dxfId="264">
      <pivotArea field="8" type="button" dataOnly="0" labelOnly="1" outline="0"/>
    </format>
    <format dxfId="263">
      <pivotArea dataOnly="0" labelOnly="1" grandRow="1" outline="0" fieldPosition="0"/>
    </format>
    <format dxfId="262">
      <pivotArea dataOnly="0" labelOnly="1" outline="0" fieldPosition="0">
        <references count="1">
          <reference field="4294967294" count="5">
            <x v="0"/>
            <x v="1"/>
            <x v="2"/>
            <x v="3"/>
            <x v="4"/>
          </reference>
        </references>
      </pivotArea>
    </format>
    <format dxfId="261">
      <pivotArea field="8" type="button" dataOnly="0" labelOnly="1" outline="0"/>
    </format>
    <format dxfId="260">
      <pivotArea dataOnly="0" labelOnly="1" outline="0" fieldPosition="0">
        <references count="1">
          <reference field="4294967294" count="5">
            <x v="0"/>
            <x v="1"/>
            <x v="2"/>
            <x v="3"/>
            <x v="4"/>
          </reference>
        </references>
      </pivotArea>
    </format>
    <format dxfId="259">
      <pivotArea field="8" type="button" dataOnly="0" labelOnly="1" outline="0"/>
    </format>
    <format dxfId="258">
      <pivotArea dataOnly="0" labelOnly="1" outline="0" fieldPosition="0">
        <references count="1">
          <reference field="4294967294" count="5">
            <x v="0"/>
            <x v="1"/>
            <x v="2"/>
            <x v="3"/>
            <x v="4"/>
          </reference>
        </references>
      </pivotArea>
    </format>
    <format dxfId="257">
      <pivotArea field="8" type="button" dataOnly="0" labelOnly="1" outline="0"/>
    </format>
    <format dxfId="256">
      <pivotArea dataOnly="0" labelOnly="1" outline="0" fieldPosition="0">
        <references count="1">
          <reference field="4294967294" count="5">
            <x v="0"/>
            <x v="1"/>
            <x v="2"/>
            <x v="3"/>
            <x v="4"/>
          </reference>
        </references>
      </pivotArea>
    </format>
    <format dxfId="255">
      <pivotArea dataOnly="0" grandRow="1" fieldPosition="0"/>
    </format>
    <format dxfId="254">
      <pivotArea dataOnly="0" grandRow="1" fieldPosition="0"/>
    </format>
    <format dxfId="253">
      <pivotArea dataOnly="0" outline="0" fieldPosition="0">
        <references count="1">
          <reference field="4294967294" count="5">
            <x v="0"/>
            <x v="1"/>
            <x v="2"/>
            <x v="3"/>
            <x v="4"/>
          </reference>
        </references>
      </pivotArea>
    </format>
    <format dxfId="252">
      <pivotArea collapsedLevelsAreSubtotals="1" fieldPosition="0">
        <references count="1">
          <reference field="9" count="0"/>
        </references>
      </pivotArea>
    </format>
    <format dxfId="251">
      <pivotArea dataOnly="0" labelOnly="1" fieldPosition="0">
        <references count="1">
          <reference field="9" count="0"/>
        </references>
      </pivotArea>
    </format>
    <format dxfId="250">
      <pivotArea collapsedLevelsAreSubtotals="1" fieldPosition="0">
        <references count="1">
          <reference field="9" count="0"/>
        </references>
      </pivotArea>
    </format>
    <format dxfId="249">
      <pivotArea dataOnly="0" labelOnly="1" fieldPosition="0">
        <references count="1">
          <reference field="9" count="0"/>
        </references>
      </pivotArea>
    </format>
    <format dxfId="248">
      <pivotArea collapsedLevelsAreSubtotals="1" fieldPosition="0">
        <references count="1">
          <reference field="9" count="0"/>
        </references>
      </pivotArea>
    </format>
    <format dxfId="247">
      <pivotArea dataOnly="0" labelOnly="1" fieldPosition="0">
        <references count="1">
          <reference field="9" count="0"/>
        </references>
      </pivotArea>
    </format>
    <format dxfId="246">
      <pivotArea collapsedLevelsAreSubtotals="1" fieldPosition="0">
        <references count="1">
          <reference field="9" count="0"/>
        </references>
      </pivotArea>
    </format>
    <format dxfId="245">
      <pivotArea dataOnly="0" labelOnly="1" fieldPosition="0">
        <references count="1">
          <reference field="9" count="0"/>
        </references>
      </pivotArea>
    </format>
    <format dxfId="228">
      <pivotArea field="9" type="button" dataOnly="0" labelOnly="1" outline="0" axis="axisRow" fieldPosition="0"/>
    </format>
    <format dxfId="226">
      <pivotArea dataOnly="0" labelOnly="1" outline="0" fieldPosition="0">
        <references count="1">
          <reference field="4294967294" count="5">
            <x v="0"/>
            <x v="1"/>
            <x v="2"/>
            <x v="3"/>
            <x v="4"/>
          </reference>
        </references>
      </pivotArea>
    </format>
    <format dxfId="225">
      <pivotArea grandRow="1" outline="0" collapsedLevelsAreSubtotals="1" fieldPosition="0"/>
    </format>
    <format dxfId="224">
      <pivotArea dataOnly="0" labelOnly="1" grandRow="1" outline="0" fieldPosition="0"/>
    </format>
  </formats>
  <chartFormats count="2">
    <chartFormat chart="4" format="0"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quiries" xr10:uid="{74759A01-EEB2-4406-AA91-528E92E2E20C}" sourceName="inquiries">
  <pivotTables>
    <pivotTable tabId="2" name="PivotTable1"/>
  </pivotTables>
  <data>
    <tabular pivotCacheId="1146304264">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segment" xr10:uid="{2B37C0FF-F0A9-42D7-8AA7-12E78D13E5A1}" sourceName="credit_segment">
  <pivotTables>
    <pivotTable tabId="2" name="PivotTable1"/>
  </pivotTables>
  <data>
    <tabular pivotCacheId="1146304264">
      <items count="6">
        <i x="0" s="1"/>
        <i x="1" s="1"/>
        <i x="2" s="1"/>
        <i x="4"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tv_band" xr10:uid="{2B52F295-FD76-45BD-8340-3C1513EBC1CA}" sourceName="ltv_band">
  <pivotTables>
    <pivotTable tabId="2" name="PivotTable1"/>
  </pivotTables>
  <data>
    <tabular pivotCacheId="1146304264">
      <items count="6">
        <i x="4" s="1"/>
        <i x="3" s="1"/>
        <i x="2" s="1"/>
        <i x="1"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quiries" xr10:uid="{58C43B53-591B-44F0-B1DE-15F3D783FE65}" cache="Slicer_inquiries" caption="inquiries" style="SlicerStyleDark1" rowHeight="228600"/>
  <slicer name="credit_segment" xr10:uid="{7FCCBE8C-F45D-469A-A0B6-61FD2FEA7F69}" cache="Slicer_credit_segment" caption="credit_segment" style="SlicerStyleDark1" rowHeight="228600"/>
  <slicer name="ltv_band" xr10:uid="{DFCAB98C-79D9-4C8E-92C5-DE707ADB9335}" cache="Slicer_ltv_band" caption="ltv_band" style="SlicerStyleDark1"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2D95C4-6AB1-42D2-AED3-D7C55458CD85}" name="Table1" displayName="Table1" ref="A1:J87" totalsRowShown="0">
  <autoFilter ref="A1:J87" xr:uid="{C12D95C4-6AB1-42D2-AED3-D7C55458CD85}"/>
  <tableColumns count="10">
    <tableColumn id="1" xr3:uid="{025B099D-5027-47CD-A23F-AEF75B31D715}" name="loans"/>
    <tableColumn id="2" xr3:uid="{0F3D9642-67D4-43B0-854E-396471CA8257}" name="loan_default"/>
    <tableColumn id="3" xr3:uid="{B8158F0A-7CF3-409E-9648-A3571F79BE37}" name="default_perc"/>
    <tableColumn id="4" xr3:uid="{00D9D323-E6AF-4D3C-BDC7-BCA1FBD94AF7}" name="credit_segment"/>
    <tableColumn id="5" xr3:uid="{DCDA6855-BD6C-467D-88EF-52B0EF2321DD}" name="ltv_band"/>
    <tableColumn id="6" xr3:uid="{97863C56-7CE5-434C-A261-29081577B7D7}" name="inquiries"/>
    <tableColumn id="7" xr3:uid="{BAE771A8-2F95-4A2F-839B-4486A16DF23E}" name="buckets"/>
    <tableColumn id="8" xr3:uid="{57CEE50D-D664-4636-B40B-0805F9F01A6A}" name="default_bucket"/>
    <tableColumn id="9" xr3:uid="{3A8A512A-6108-4137-B8E0-5B08ED677066}" name="risk_tier"/>
    <tableColumn id="10" xr3:uid="{FF5C7349-5668-4D22-94AC-5A795670C23C}" name="risk_tier_label"/>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72458-B87A-4B6A-B167-88B2EBB8F4DC}">
  <sheetPr>
    <tabColor theme="6" tint="-0.499984740745262"/>
  </sheetPr>
  <dimension ref="A1:K111"/>
  <sheetViews>
    <sheetView tabSelected="1" topLeftCell="A81" zoomScaleNormal="100" workbookViewId="0">
      <selection activeCell="B1" sqref="B1:I5"/>
    </sheetView>
  </sheetViews>
  <sheetFormatPr defaultRowHeight="15.75" x14ac:dyDescent="0.25"/>
  <cols>
    <col min="1" max="1" width="6.28515625" customWidth="1"/>
    <col min="2" max="2" width="41.85546875" style="1" bestFit="1" customWidth="1"/>
    <col min="3" max="7" width="19.28515625" customWidth="1"/>
    <col min="8" max="8" width="14.42578125" style="5" bestFit="1" customWidth="1"/>
    <col min="9" max="9" width="10.85546875" customWidth="1"/>
    <col min="11" max="11" width="1.42578125" bestFit="1" customWidth="1"/>
  </cols>
  <sheetData>
    <row r="1" spans="1:9" ht="15.75" customHeight="1" x14ac:dyDescent="0.25">
      <c r="A1" s="3"/>
      <c r="B1" s="36" t="s">
        <v>128</v>
      </c>
      <c r="C1" s="36"/>
      <c r="D1" s="36"/>
      <c r="E1" s="36"/>
      <c r="F1" s="36"/>
      <c r="G1" s="36"/>
      <c r="H1" s="36"/>
      <c r="I1" s="36"/>
    </row>
    <row r="2" spans="1:9" ht="15.75" customHeight="1" x14ac:dyDescent="0.25">
      <c r="A2" s="3"/>
      <c r="B2" s="36"/>
      <c r="C2" s="36"/>
      <c r="D2" s="36"/>
      <c r="E2" s="36"/>
      <c r="F2" s="36"/>
      <c r="G2" s="36"/>
      <c r="H2" s="36"/>
      <c r="I2" s="36"/>
    </row>
    <row r="3" spans="1:9" ht="15.75" customHeight="1" x14ac:dyDescent="0.25">
      <c r="A3" s="3"/>
      <c r="B3" s="36"/>
      <c r="C3" s="36"/>
      <c r="D3" s="36"/>
      <c r="E3" s="36"/>
      <c r="F3" s="36"/>
      <c r="G3" s="36"/>
      <c r="H3" s="36"/>
      <c r="I3" s="36"/>
    </row>
    <row r="4" spans="1:9" ht="15.75" customHeight="1" x14ac:dyDescent="0.25">
      <c r="A4" s="3"/>
      <c r="B4" s="36"/>
      <c r="C4" s="36"/>
      <c r="D4" s="36"/>
      <c r="E4" s="36"/>
      <c r="F4" s="36"/>
      <c r="G4" s="36"/>
      <c r="H4" s="36"/>
      <c r="I4" s="36"/>
    </row>
    <row r="5" spans="1:9" ht="15.75" customHeight="1" x14ac:dyDescent="0.25">
      <c r="A5" s="3"/>
      <c r="B5" s="36"/>
      <c r="C5" s="36"/>
      <c r="D5" s="36"/>
      <c r="E5" s="36"/>
      <c r="F5" s="36"/>
      <c r="G5" s="36"/>
      <c r="H5" s="36"/>
      <c r="I5" s="36"/>
    </row>
    <row r="6" spans="1:9" x14ac:dyDescent="0.25">
      <c r="A6" s="3"/>
      <c r="B6" s="2"/>
      <c r="C6" s="3"/>
      <c r="D6" s="3"/>
      <c r="E6" s="3"/>
      <c r="F6" s="3"/>
      <c r="G6" s="3"/>
      <c r="H6" s="4"/>
      <c r="I6" s="3"/>
    </row>
    <row r="7" spans="1:9" x14ac:dyDescent="0.25">
      <c r="A7" s="3"/>
      <c r="B7" s="2"/>
      <c r="C7" s="3"/>
      <c r="D7" s="3"/>
      <c r="E7" s="3"/>
      <c r="F7" s="3"/>
      <c r="G7" s="3"/>
      <c r="H7" s="4"/>
      <c r="I7" s="3"/>
    </row>
    <row r="8" spans="1:9" x14ac:dyDescent="0.25">
      <c r="A8" s="3"/>
      <c r="B8" s="2"/>
      <c r="C8" s="3"/>
      <c r="D8" s="3"/>
      <c r="E8" s="3"/>
      <c r="F8" s="3"/>
      <c r="G8" s="3"/>
      <c r="H8" s="4"/>
      <c r="I8" s="3"/>
    </row>
    <row r="9" spans="1:9" x14ac:dyDescent="0.25">
      <c r="A9" s="3"/>
      <c r="B9" s="2"/>
      <c r="C9" s="3"/>
      <c r="D9" s="3"/>
      <c r="E9" s="3"/>
      <c r="F9" s="3"/>
      <c r="G9" s="3"/>
      <c r="H9" s="4"/>
      <c r="I9" s="3"/>
    </row>
    <row r="10" spans="1:9" x14ac:dyDescent="0.25">
      <c r="A10" s="3"/>
      <c r="B10" s="2"/>
      <c r="C10" s="3"/>
      <c r="D10" s="3"/>
      <c r="E10" s="3"/>
      <c r="F10" s="3"/>
      <c r="G10" s="3"/>
      <c r="H10" s="4"/>
      <c r="I10" s="3"/>
    </row>
    <row r="11" spans="1:9" x14ac:dyDescent="0.25">
      <c r="A11" s="3"/>
      <c r="B11" s="2"/>
      <c r="C11" s="3"/>
      <c r="D11" s="3"/>
      <c r="E11" s="3"/>
      <c r="F11" s="3"/>
      <c r="G11" s="3"/>
      <c r="H11" s="4"/>
      <c r="I11" s="3"/>
    </row>
    <row r="12" spans="1:9" x14ac:dyDescent="0.25">
      <c r="A12" s="3"/>
      <c r="B12" s="2"/>
      <c r="C12" s="3"/>
      <c r="D12" s="3"/>
      <c r="E12" s="3"/>
      <c r="F12" s="3"/>
      <c r="G12" s="3"/>
      <c r="H12" s="4"/>
      <c r="I12" s="3"/>
    </row>
    <row r="13" spans="1:9" x14ac:dyDescent="0.25">
      <c r="A13" s="3"/>
      <c r="B13" s="2"/>
      <c r="C13" s="3"/>
      <c r="D13" s="3"/>
      <c r="E13" s="3"/>
      <c r="F13" s="3"/>
      <c r="G13" s="3"/>
      <c r="H13" s="4"/>
      <c r="I13" s="3"/>
    </row>
    <row r="14" spans="1:9" x14ac:dyDescent="0.25">
      <c r="A14" s="3"/>
      <c r="B14" s="2"/>
      <c r="C14" s="3"/>
      <c r="D14" s="3"/>
      <c r="E14" s="3"/>
      <c r="F14" s="3"/>
      <c r="G14" s="3"/>
      <c r="H14" s="4"/>
      <c r="I14" s="3"/>
    </row>
    <row r="15" spans="1:9" x14ac:dyDescent="0.25">
      <c r="A15" s="3"/>
      <c r="B15" s="2"/>
      <c r="C15" s="3"/>
      <c r="D15" s="3"/>
      <c r="E15" s="3"/>
      <c r="F15" s="3"/>
      <c r="G15" s="3"/>
      <c r="H15" s="4"/>
      <c r="I15" s="3"/>
    </row>
    <row r="16" spans="1:9" x14ac:dyDescent="0.25">
      <c r="A16" s="3"/>
      <c r="B16" s="2"/>
      <c r="C16" s="3"/>
      <c r="D16" s="3"/>
      <c r="E16" s="3"/>
      <c r="F16" s="3"/>
      <c r="G16" s="3"/>
      <c r="H16" s="4"/>
      <c r="I16" s="3"/>
    </row>
    <row r="17" spans="1:11" x14ac:dyDescent="0.25">
      <c r="A17" s="3"/>
      <c r="B17" s="2"/>
      <c r="C17" s="3"/>
      <c r="D17" s="3"/>
      <c r="E17" s="3"/>
      <c r="F17" s="3"/>
      <c r="G17" s="3"/>
      <c r="H17" s="4"/>
      <c r="I17" s="3"/>
      <c r="K17" t="s">
        <v>123</v>
      </c>
    </row>
    <row r="18" spans="1:11" x14ac:dyDescent="0.25">
      <c r="A18" s="3"/>
      <c r="B18" s="2"/>
      <c r="C18" s="3"/>
      <c r="D18" s="3"/>
      <c r="E18" s="3"/>
      <c r="F18" s="3"/>
      <c r="G18" s="3"/>
      <c r="H18" s="4"/>
      <c r="I18" s="3"/>
    </row>
    <row r="19" spans="1:11" x14ac:dyDescent="0.25">
      <c r="A19" s="3"/>
      <c r="B19" s="2"/>
      <c r="C19" s="3"/>
      <c r="D19" s="3"/>
      <c r="E19" s="3"/>
      <c r="F19" s="3"/>
      <c r="G19" s="3"/>
      <c r="H19" s="4"/>
      <c r="I19" s="3"/>
    </row>
    <row r="20" spans="1:11" x14ac:dyDescent="0.25">
      <c r="A20" s="3"/>
      <c r="B20" s="18" t="s">
        <v>118</v>
      </c>
      <c r="C20" s="19" t="s">
        <v>111</v>
      </c>
      <c r="D20" s="19" t="s">
        <v>112</v>
      </c>
      <c r="E20" s="19" t="s">
        <v>121</v>
      </c>
      <c r="F20" s="19" t="s">
        <v>119</v>
      </c>
      <c r="G20" s="19" t="s">
        <v>120</v>
      </c>
      <c r="H20" s="20" t="s">
        <v>122</v>
      </c>
      <c r="I20" s="3"/>
    </row>
    <row r="21" spans="1:11" x14ac:dyDescent="0.25">
      <c r="A21" s="3"/>
      <c r="B21" s="9" t="s">
        <v>117</v>
      </c>
      <c r="C21" s="10">
        <v>45066</v>
      </c>
      <c r="D21" s="10">
        <v>5898</v>
      </c>
      <c r="E21" s="11">
        <v>0.13087471708161363</v>
      </c>
      <c r="F21" s="11">
        <v>0.19469982373068814</v>
      </c>
      <c r="G21" s="11">
        <v>0.11740117042875911</v>
      </c>
      <c r="H21" s="12">
        <f>G21/F21</f>
        <v>0.60298549931483381</v>
      </c>
      <c r="I21" s="3"/>
    </row>
    <row r="22" spans="1:11" x14ac:dyDescent="0.25">
      <c r="A22" s="3"/>
      <c r="B22" s="9" t="s">
        <v>116</v>
      </c>
      <c r="C22" s="10">
        <v>53501</v>
      </c>
      <c r="D22" s="10">
        <v>9583</v>
      </c>
      <c r="E22" s="11">
        <v>0.17911814732434908</v>
      </c>
      <c r="F22" s="11">
        <v>0.23114177582691045</v>
      </c>
      <c r="G22" s="11">
        <v>0.19075202038297703</v>
      </c>
      <c r="H22" s="12">
        <f t="shared" ref="H22:H24" si="0">G22/F22</f>
        <v>0.82525982030102984</v>
      </c>
      <c r="I22" s="3"/>
    </row>
    <row r="23" spans="1:11" x14ac:dyDescent="0.25">
      <c r="A23" s="3"/>
      <c r="B23" s="9" t="s">
        <v>115</v>
      </c>
      <c r="C23" s="10">
        <v>66151</v>
      </c>
      <c r="D23" s="10">
        <v>15419</v>
      </c>
      <c r="E23" s="11">
        <v>0.23308793517860651</v>
      </c>
      <c r="F23" s="11">
        <v>0.2857939031555663</v>
      </c>
      <c r="G23" s="11">
        <v>0.30691906524941281</v>
      </c>
      <c r="H23" s="12">
        <f t="shared" si="0"/>
        <v>1.0739174694092317</v>
      </c>
      <c r="I23" s="3"/>
    </row>
    <row r="24" spans="1:11" x14ac:dyDescent="0.25">
      <c r="A24" s="3"/>
      <c r="B24" s="9" t="s">
        <v>114</v>
      </c>
      <c r="C24" s="10">
        <v>66746</v>
      </c>
      <c r="D24" s="10">
        <v>19338</v>
      </c>
      <c r="E24" s="11">
        <v>0.28972522697989395</v>
      </c>
      <c r="F24" s="11">
        <v>0.28836449728683511</v>
      </c>
      <c r="G24" s="11">
        <v>0.38492774393885104</v>
      </c>
      <c r="H24" s="12">
        <f t="shared" si="0"/>
        <v>1.3348652402100831</v>
      </c>
      <c r="I24" s="3"/>
    </row>
    <row r="25" spans="1:11" x14ac:dyDescent="0.25">
      <c r="A25" s="3"/>
      <c r="B25" s="21" t="s">
        <v>85</v>
      </c>
      <c r="C25" s="7">
        <v>231464</v>
      </c>
      <c r="D25" s="7">
        <v>50238</v>
      </c>
      <c r="E25" s="8">
        <v>0.21704455120450697</v>
      </c>
      <c r="F25" s="8">
        <v>1</v>
      </c>
      <c r="G25" s="8">
        <v>1</v>
      </c>
      <c r="H25" s="6"/>
      <c r="I25" s="3"/>
    </row>
    <row r="26" spans="1:11" x14ac:dyDescent="0.25">
      <c r="A26" s="3"/>
      <c r="B26" s="3"/>
      <c r="C26" s="3"/>
      <c r="D26" s="3"/>
      <c r="E26" s="3"/>
      <c r="F26" s="3"/>
      <c r="G26" s="3"/>
      <c r="H26" s="4"/>
      <c r="I26" s="3"/>
    </row>
    <row r="27" spans="1:11" ht="18.75" x14ac:dyDescent="0.3">
      <c r="A27" s="3"/>
      <c r="B27" s="17" t="s">
        <v>127</v>
      </c>
      <c r="C27" s="17"/>
      <c r="D27" s="17"/>
      <c r="E27" s="17"/>
      <c r="F27" s="17"/>
      <c r="G27" s="17"/>
      <c r="H27" s="4"/>
      <c r="I27" s="3"/>
    </row>
    <row r="28" spans="1:11" x14ac:dyDescent="0.25">
      <c r="A28" s="3"/>
      <c r="B28" s="3"/>
      <c r="C28" s="3"/>
      <c r="D28" s="3"/>
      <c r="E28" s="3"/>
      <c r="F28" s="3"/>
      <c r="G28" s="3"/>
      <c r="H28" s="4"/>
      <c r="I28" s="3"/>
    </row>
    <row r="29" spans="1:11" x14ac:dyDescent="0.25">
      <c r="A29" s="3"/>
      <c r="B29" s="22" t="s">
        <v>125</v>
      </c>
      <c r="C29" s="29" t="s">
        <v>124</v>
      </c>
      <c r="D29" s="23"/>
      <c r="E29" s="23"/>
      <c r="F29" s="23"/>
      <c r="G29" s="23"/>
      <c r="H29" s="4"/>
      <c r="I29" s="3"/>
    </row>
    <row r="30" spans="1:11" ht="18.75" x14ac:dyDescent="0.3">
      <c r="A30" s="3"/>
      <c r="B30" s="24" t="s">
        <v>126</v>
      </c>
      <c r="C30" s="25">
        <v>0</v>
      </c>
      <c r="D30" s="25">
        <v>1</v>
      </c>
      <c r="E30" s="25">
        <v>2</v>
      </c>
      <c r="F30" s="25">
        <v>3</v>
      </c>
      <c r="G30" s="24" t="s">
        <v>85</v>
      </c>
      <c r="H30" s="4"/>
      <c r="I30" s="3"/>
    </row>
    <row r="31" spans="1:11" x14ac:dyDescent="0.25">
      <c r="A31" s="3"/>
      <c r="B31" s="15" t="s">
        <v>16</v>
      </c>
      <c r="C31" s="14">
        <v>0.13941567192914903</v>
      </c>
      <c r="D31" s="14">
        <v>0.21358811040339704</v>
      </c>
      <c r="E31" s="14">
        <v>0.25635234330886503</v>
      </c>
      <c r="F31" s="14">
        <v>0.31435257410296413</v>
      </c>
      <c r="G31" s="16">
        <v>0.15790594155215792</v>
      </c>
      <c r="H31" s="4"/>
      <c r="I31" s="3"/>
    </row>
    <row r="32" spans="1:11" x14ac:dyDescent="0.25">
      <c r="A32" s="3"/>
      <c r="B32" s="15" t="s">
        <v>26</v>
      </c>
      <c r="C32" s="14">
        <v>0.17115238817285822</v>
      </c>
      <c r="D32" s="14">
        <v>0.21504772599663111</v>
      </c>
      <c r="E32" s="14">
        <v>0.27482678983833719</v>
      </c>
      <c r="F32" s="14">
        <v>0.2857142857142857</v>
      </c>
      <c r="G32" s="16">
        <v>0.1827684267158558</v>
      </c>
      <c r="H32" s="4"/>
      <c r="I32" s="3"/>
    </row>
    <row r="33" spans="1:9" x14ac:dyDescent="0.25">
      <c r="A33" s="3"/>
      <c r="B33" s="15" t="s">
        <v>22</v>
      </c>
      <c r="C33" s="14">
        <v>0.21961499031780385</v>
      </c>
      <c r="D33" s="14">
        <v>0.24899598393574296</v>
      </c>
      <c r="E33" s="14">
        <v>0.22674418604651161</v>
      </c>
      <c r="F33" s="14">
        <v>0.32236842105263158</v>
      </c>
      <c r="G33" s="16">
        <v>0.22477773482798608</v>
      </c>
      <c r="H33" s="4"/>
      <c r="I33" s="3"/>
    </row>
    <row r="34" spans="1:9" x14ac:dyDescent="0.25">
      <c r="A34" s="3"/>
      <c r="B34" s="15" t="s">
        <v>12</v>
      </c>
      <c r="C34" s="14">
        <v>0.27603845971676216</v>
      </c>
      <c r="D34" s="14">
        <v>0.29468485418626528</v>
      </c>
      <c r="E34" s="14">
        <v>0.32183908045977011</v>
      </c>
      <c r="F34" s="14">
        <v>0.36206896551724138</v>
      </c>
      <c r="G34" s="16">
        <v>0.28306119446896144</v>
      </c>
      <c r="H34" s="4"/>
      <c r="I34" s="3"/>
    </row>
    <row r="35" spans="1:9" x14ac:dyDescent="0.25">
      <c r="A35" s="3"/>
      <c r="B35" s="15" t="s">
        <v>11</v>
      </c>
      <c r="C35" s="14">
        <v>0.20036155468514613</v>
      </c>
      <c r="D35" s="14">
        <v>0.24459078080903104</v>
      </c>
      <c r="E35" s="14">
        <v>0.37049180327868853</v>
      </c>
      <c r="F35" s="14">
        <v>0.3902439024390244</v>
      </c>
      <c r="G35" s="16">
        <v>0.21446781389420014</v>
      </c>
      <c r="H35" s="4"/>
      <c r="I35" s="3"/>
    </row>
    <row r="36" spans="1:9" x14ac:dyDescent="0.25">
      <c r="A36" s="3"/>
      <c r="B36" s="15" t="s">
        <v>9</v>
      </c>
      <c r="C36" s="14">
        <v>0.22913788088139045</v>
      </c>
      <c r="D36" s="14">
        <v>0.2548707049238399</v>
      </c>
      <c r="E36" s="14">
        <v>0.31088664421997753</v>
      </c>
      <c r="F36" s="14">
        <v>0.4315068493150685</v>
      </c>
      <c r="G36" s="16">
        <v>0.23126033712968438</v>
      </c>
      <c r="H36" s="4"/>
      <c r="I36" s="3"/>
    </row>
    <row r="37" spans="1:9" ht="18.75" x14ac:dyDescent="0.3">
      <c r="A37" s="3"/>
      <c r="B37" s="26" t="s">
        <v>85</v>
      </c>
      <c r="C37" s="27">
        <v>0.21071890117398903</v>
      </c>
      <c r="D37" s="27">
        <v>0.24481121410807144</v>
      </c>
      <c r="E37" s="27">
        <v>0.29045290240272165</v>
      </c>
      <c r="F37" s="27">
        <v>0.33556797020484169</v>
      </c>
      <c r="G37" s="27">
        <v>0.21704455120450697</v>
      </c>
      <c r="H37" s="4"/>
      <c r="I37" s="3"/>
    </row>
    <row r="38" spans="1:9" x14ac:dyDescent="0.25">
      <c r="A38" s="3"/>
      <c r="B38" s="3"/>
      <c r="C38" s="3"/>
      <c r="D38" s="3"/>
      <c r="E38" s="3"/>
      <c r="F38" s="3"/>
      <c r="G38" s="3"/>
      <c r="H38" s="4"/>
      <c r="I38" s="3"/>
    </row>
    <row r="39" spans="1:9" x14ac:dyDescent="0.25">
      <c r="A39" s="3"/>
      <c r="B39" s="3"/>
      <c r="C39" s="3"/>
      <c r="D39" s="3"/>
      <c r="E39" s="3"/>
      <c r="F39" s="3"/>
      <c r="G39" s="3"/>
      <c r="H39" s="4"/>
      <c r="I39" s="3"/>
    </row>
    <row r="40" spans="1:9" x14ac:dyDescent="0.25">
      <c r="A40" s="3"/>
      <c r="B40" s="3"/>
      <c r="C40" s="3"/>
      <c r="D40" s="3"/>
      <c r="E40" s="3"/>
      <c r="F40" s="3"/>
      <c r="G40" s="3"/>
      <c r="H40" s="4"/>
      <c r="I40" s="3"/>
    </row>
    <row r="41" spans="1:9" x14ac:dyDescent="0.25">
      <c r="A41" s="3"/>
      <c r="B41" s="3"/>
      <c r="C41" s="3"/>
      <c r="D41" s="3"/>
      <c r="E41" s="3"/>
      <c r="F41" s="3"/>
      <c r="G41" s="3"/>
      <c r="H41" s="4"/>
      <c r="I41" s="3"/>
    </row>
    <row r="42" spans="1:9" x14ac:dyDescent="0.25">
      <c r="A42" s="3"/>
      <c r="B42" s="3"/>
      <c r="C42" s="3"/>
      <c r="D42" s="3"/>
      <c r="E42" s="3"/>
      <c r="F42" s="3"/>
      <c r="G42" s="3"/>
      <c r="H42" s="4"/>
      <c r="I42" s="3"/>
    </row>
    <row r="43" spans="1:9" x14ac:dyDescent="0.25">
      <c r="A43" s="3"/>
      <c r="B43" s="3"/>
      <c r="C43" s="3"/>
      <c r="D43" s="3"/>
      <c r="E43" s="3"/>
      <c r="F43" s="3"/>
      <c r="G43" s="3"/>
      <c r="H43" s="4"/>
      <c r="I43" s="3"/>
    </row>
    <row r="44" spans="1:9" x14ac:dyDescent="0.25">
      <c r="A44" s="3"/>
      <c r="B44" s="3"/>
      <c r="C44" s="3"/>
      <c r="D44" s="3"/>
      <c r="E44" s="3"/>
      <c r="F44" s="3"/>
      <c r="G44" s="3"/>
      <c r="H44" s="4"/>
      <c r="I44" s="3"/>
    </row>
    <row r="45" spans="1:9" x14ac:dyDescent="0.25">
      <c r="A45" s="3"/>
      <c r="B45" s="3"/>
      <c r="C45" s="3"/>
      <c r="D45" s="3"/>
      <c r="E45" s="3"/>
      <c r="F45" s="3"/>
      <c r="G45" s="3"/>
      <c r="H45" s="4"/>
      <c r="I45" s="3"/>
    </row>
    <row r="46" spans="1:9" x14ac:dyDescent="0.25">
      <c r="A46" s="3"/>
      <c r="B46" s="3"/>
      <c r="C46" s="3"/>
      <c r="D46" s="3"/>
      <c r="E46" s="3"/>
      <c r="F46" s="3"/>
      <c r="G46" s="3"/>
      <c r="H46" s="4"/>
      <c r="I46" s="3"/>
    </row>
    <row r="47" spans="1:9" x14ac:dyDescent="0.25">
      <c r="A47" s="3"/>
      <c r="B47" s="3"/>
      <c r="C47" s="3"/>
      <c r="D47" s="3"/>
      <c r="E47" s="3"/>
      <c r="F47" s="3"/>
      <c r="G47" s="3"/>
      <c r="H47" s="4"/>
      <c r="I47" s="3"/>
    </row>
    <row r="48" spans="1:9" x14ac:dyDescent="0.25">
      <c r="A48" s="3"/>
      <c r="B48" s="3"/>
      <c r="C48" s="3"/>
      <c r="D48" s="3"/>
      <c r="E48" s="3"/>
      <c r="F48" s="3"/>
      <c r="G48" s="3"/>
      <c r="H48" s="4"/>
      <c r="I48" s="3"/>
    </row>
    <row r="49" spans="1:9" x14ac:dyDescent="0.25">
      <c r="A49" s="3"/>
      <c r="B49" s="3"/>
      <c r="C49" s="3"/>
      <c r="D49" s="3"/>
      <c r="E49" s="3"/>
      <c r="F49" s="3"/>
      <c r="G49" s="3"/>
      <c r="H49" s="4"/>
      <c r="I49" s="3"/>
    </row>
    <row r="50" spans="1:9" x14ac:dyDescent="0.25">
      <c r="A50" s="3"/>
      <c r="B50" s="3"/>
      <c r="C50" s="3"/>
      <c r="D50" s="3"/>
      <c r="E50" s="3"/>
      <c r="F50" s="3"/>
      <c r="G50" s="3"/>
      <c r="H50" s="4"/>
      <c r="I50" s="3"/>
    </row>
    <row r="51" spans="1:9" x14ac:dyDescent="0.25">
      <c r="A51" s="3"/>
      <c r="B51" s="3"/>
      <c r="C51" s="3"/>
      <c r="D51" s="3"/>
      <c r="E51" s="3"/>
      <c r="F51" s="3"/>
      <c r="G51" s="3"/>
      <c r="H51" s="4"/>
      <c r="I51" s="3"/>
    </row>
    <row r="52" spans="1:9" x14ac:dyDescent="0.25">
      <c r="A52" s="3"/>
      <c r="B52" s="3"/>
      <c r="C52" s="3"/>
      <c r="D52" s="3"/>
      <c r="E52" s="3"/>
      <c r="F52" s="3"/>
      <c r="G52" s="3"/>
      <c r="H52" s="4"/>
      <c r="I52" s="3"/>
    </row>
    <row r="53" spans="1:9" x14ac:dyDescent="0.25">
      <c r="A53" s="3"/>
      <c r="B53" s="3"/>
      <c r="C53" s="3"/>
      <c r="D53" s="3"/>
      <c r="E53" s="3"/>
      <c r="F53" s="3"/>
      <c r="G53" s="3"/>
      <c r="H53" s="4"/>
      <c r="I53" s="3"/>
    </row>
    <row r="54" spans="1:9" x14ac:dyDescent="0.25">
      <c r="A54" s="3"/>
      <c r="B54" s="3"/>
      <c r="C54" s="3"/>
      <c r="D54" s="3"/>
      <c r="E54" s="3"/>
      <c r="F54" s="3"/>
      <c r="G54" s="3"/>
      <c r="H54" s="4"/>
      <c r="I54" s="3"/>
    </row>
    <row r="55" spans="1:9" x14ac:dyDescent="0.25">
      <c r="A55" s="3"/>
      <c r="B55" s="3"/>
      <c r="C55" s="3"/>
      <c r="D55" s="3"/>
      <c r="E55" s="3"/>
      <c r="F55" s="3"/>
      <c r="G55" s="3"/>
      <c r="H55" s="4"/>
      <c r="I55" s="3"/>
    </row>
    <row r="56" spans="1:9" x14ac:dyDescent="0.25">
      <c r="A56" s="3"/>
      <c r="B56" s="3"/>
      <c r="C56" s="3"/>
      <c r="D56" s="3"/>
      <c r="E56" s="3"/>
      <c r="F56" s="3"/>
      <c r="G56" s="3"/>
      <c r="H56" s="4"/>
      <c r="I56" s="3"/>
    </row>
    <row r="57" spans="1:9" x14ac:dyDescent="0.25">
      <c r="A57" s="3"/>
      <c r="B57" s="3"/>
      <c r="C57" s="3"/>
      <c r="D57" s="3"/>
      <c r="E57" s="3"/>
      <c r="F57" s="3"/>
      <c r="G57" s="3"/>
      <c r="H57" s="4"/>
      <c r="I57" s="3"/>
    </row>
    <row r="58" spans="1:9" x14ac:dyDescent="0.25">
      <c r="A58" s="3"/>
      <c r="B58" s="3"/>
      <c r="C58" s="3"/>
      <c r="D58" s="3"/>
      <c r="E58" s="3"/>
      <c r="F58" s="3"/>
      <c r="G58" s="3"/>
      <c r="H58" s="4"/>
      <c r="I58" s="3"/>
    </row>
    <row r="59" spans="1:9" x14ac:dyDescent="0.25">
      <c r="A59" s="3"/>
      <c r="B59" s="3"/>
      <c r="C59" s="3"/>
      <c r="D59" s="3"/>
      <c r="E59" s="3"/>
      <c r="F59" s="3"/>
      <c r="G59" s="3"/>
      <c r="H59" s="4"/>
      <c r="I59" s="3"/>
    </row>
    <row r="60" spans="1:9" x14ac:dyDescent="0.25">
      <c r="A60" s="3"/>
      <c r="B60" s="3"/>
      <c r="C60" s="3"/>
      <c r="D60" s="3"/>
      <c r="E60" s="3"/>
      <c r="F60" s="3"/>
      <c r="G60" s="3"/>
      <c r="H60" s="4"/>
      <c r="I60" s="3"/>
    </row>
    <row r="61" spans="1:9" x14ac:dyDescent="0.25">
      <c r="A61" s="3"/>
      <c r="B61" s="3"/>
      <c r="C61" s="3"/>
      <c r="D61" s="3"/>
      <c r="E61" s="3"/>
      <c r="F61" s="3"/>
      <c r="G61" s="3"/>
      <c r="H61" s="4"/>
      <c r="I61" s="3"/>
    </row>
    <row r="62" spans="1:9" x14ac:dyDescent="0.25">
      <c r="A62" s="3"/>
      <c r="B62" s="3"/>
      <c r="C62" s="3"/>
      <c r="D62" s="3"/>
      <c r="E62" s="3"/>
      <c r="F62" s="3"/>
      <c r="G62" s="3"/>
      <c r="H62" s="4"/>
      <c r="I62" s="3"/>
    </row>
    <row r="63" spans="1:9" ht="15" x14ac:dyDescent="0.25">
      <c r="A63" s="3"/>
      <c r="B63" s="28" t="s">
        <v>125</v>
      </c>
      <c r="C63" s="13" t="s">
        <v>124</v>
      </c>
      <c r="D63" s="13"/>
      <c r="E63" s="13"/>
      <c r="F63" s="13"/>
      <c r="G63" s="13"/>
      <c r="H63" s="13"/>
      <c r="I63" s="3"/>
    </row>
    <row r="64" spans="1:9" ht="18.75" x14ac:dyDescent="0.3">
      <c r="A64" s="3"/>
      <c r="B64" s="30" t="s">
        <v>126</v>
      </c>
      <c r="C64" s="33" t="s">
        <v>48</v>
      </c>
      <c r="D64" s="33" t="s">
        <v>23</v>
      </c>
      <c r="E64" s="33" t="s">
        <v>18</v>
      </c>
      <c r="F64" s="33" t="s">
        <v>13</v>
      </c>
      <c r="G64" s="33" t="s">
        <v>110</v>
      </c>
      <c r="H64" s="30" t="s">
        <v>85</v>
      </c>
      <c r="I64" s="3"/>
    </row>
    <row r="65" spans="1:9" ht="15" x14ac:dyDescent="0.25">
      <c r="A65" s="3"/>
      <c r="B65" s="31" t="s">
        <v>16</v>
      </c>
      <c r="C65" s="14">
        <v>9.6411671924290218E-2</v>
      </c>
      <c r="D65" s="14">
        <v>0.12926258771389881</v>
      </c>
      <c r="E65" s="14">
        <v>0.14697651782455287</v>
      </c>
      <c r="F65" s="14">
        <v>0.16093548706768407</v>
      </c>
      <c r="G65" s="14">
        <v>0.18785023555665759</v>
      </c>
      <c r="H65" s="32">
        <v>0.15790594155215792</v>
      </c>
      <c r="I65" s="3"/>
    </row>
    <row r="66" spans="1:9" ht="15" x14ac:dyDescent="0.25">
      <c r="A66" s="3"/>
      <c r="B66" s="31" t="s">
        <v>26</v>
      </c>
      <c r="C66" s="14">
        <v>0.13636363636363635</v>
      </c>
      <c r="D66" s="14">
        <v>0.15054887611082071</v>
      </c>
      <c r="E66" s="14">
        <v>0.17849898580121704</v>
      </c>
      <c r="F66" s="14">
        <v>0.16888193901485535</v>
      </c>
      <c r="G66" s="14">
        <v>0.21081277213352684</v>
      </c>
      <c r="H66" s="32">
        <v>0.1827684267158558</v>
      </c>
      <c r="I66" s="3"/>
    </row>
    <row r="67" spans="1:9" ht="15" x14ac:dyDescent="0.25">
      <c r="A67" s="3"/>
      <c r="B67" s="31" t="s">
        <v>22</v>
      </c>
      <c r="C67" s="14">
        <v>0.16298020954598369</v>
      </c>
      <c r="D67" s="14">
        <v>0.18368657675016056</v>
      </c>
      <c r="E67" s="14">
        <v>0.20155968806238753</v>
      </c>
      <c r="F67" s="14">
        <v>0.23711855927963982</v>
      </c>
      <c r="G67" s="14">
        <v>0.25550867323019222</v>
      </c>
      <c r="H67" s="32">
        <v>0.22477773482798608</v>
      </c>
      <c r="I67" s="3"/>
    </row>
    <row r="68" spans="1:9" ht="15" x14ac:dyDescent="0.25">
      <c r="A68" s="3"/>
      <c r="B68" s="31" t="s">
        <v>12</v>
      </c>
      <c r="C68" s="14">
        <v>0.20553539019963701</v>
      </c>
      <c r="D68" s="14">
        <v>0.23076923076923078</v>
      </c>
      <c r="E68" s="14">
        <v>0.28415300546448086</v>
      </c>
      <c r="F68" s="14">
        <v>0.27589317935763263</v>
      </c>
      <c r="G68" s="14">
        <v>0.31882500447787926</v>
      </c>
      <c r="H68" s="32">
        <v>0.28306119446896144</v>
      </c>
      <c r="I68" s="3"/>
    </row>
    <row r="69" spans="1:9" ht="15" x14ac:dyDescent="0.25">
      <c r="A69" s="3"/>
      <c r="B69" s="31" t="s">
        <v>11</v>
      </c>
      <c r="C69" s="14">
        <v>0.12787136294027565</v>
      </c>
      <c r="D69" s="14">
        <v>0.16977225672877846</v>
      </c>
      <c r="E69" s="14">
        <v>0.19144893111638955</v>
      </c>
      <c r="F69" s="14">
        <v>0.22213047068538397</v>
      </c>
      <c r="G69" s="14">
        <v>0.26237727177773135</v>
      </c>
      <c r="H69" s="32">
        <v>0.21446781389420014</v>
      </c>
      <c r="I69" s="3"/>
    </row>
    <row r="70" spans="1:9" ht="15" x14ac:dyDescent="0.25">
      <c r="A70" s="3"/>
      <c r="B70" s="31" t="s">
        <v>9</v>
      </c>
      <c r="C70" s="14">
        <v>0.14285714285714285</v>
      </c>
      <c r="D70" s="14">
        <v>0.186455463728191</v>
      </c>
      <c r="E70" s="14">
        <v>0.23212092583845065</v>
      </c>
      <c r="F70" s="14">
        <v>0.24424272235388811</v>
      </c>
      <c r="G70" s="14">
        <v>0.28564771668219946</v>
      </c>
      <c r="H70" s="32">
        <v>0.23126033712968438</v>
      </c>
      <c r="I70" s="3"/>
    </row>
    <row r="71" spans="1:9" ht="18.75" x14ac:dyDescent="0.3">
      <c r="A71" s="3"/>
      <c r="B71" s="34" t="s">
        <v>85</v>
      </c>
      <c r="C71" s="35">
        <v>0.13866026070176821</v>
      </c>
      <c r="D71" s="35">
        <v>0.17605742117405793</v>
      </c>
      <c r="E71" s="35">
        <v>0.21439004734562306</v>
      </c>
      <c r="F71" s="35">
        <v>0.22365758754863813</v>
      </c>
      <c r="G71" s="35">
        <v>0.25828497899924735</v>
      </c>
      <c r="H71" s="35">
        <v>0.21704455120450697</v>
      </c>
      <c r="I71" s="3"/>
    </row>
    <row r="72" spans="1:9" x14ac:dyDescent="0.25">
      <c r="A72" s="3"/>
      <c r="B72" s="3"/>
      <c r="C72" s="3"/>
      <c r="D72" s="3"/>
      <c r="E72" s="3"/>
      <c r="F72" s="3"/>
      <c r="G72" s="3"/>
      <c r="H72" s="4"/>
      <c r="I72" s="3"/>
    </row>
    <row r="73" spans="1:9" x14ac:dyDescent="0.25">
      <c r="A73" s="3"/>
      <c r="B73" s="3"/>
      <c r="C73" s="3"/>
      <c r="D73" s="3"/>
      <c r="E73" s="3"/>
      <c r="F73" s="3"/>
      <c r="G73" s="3"/>
      <c r="H73" s="4"/>
      <c r="I73" s="3"/>
    </row>
    <row r="74" spans="1:9" x14ac:dyDescent="0.25">
      <c r="A74" s="3"/>
      <c r="B74" s="3"/>
      <c r="C74" s="3"/>
      <c r="D74" s="3"/>
      <c r="E74" s="3"/>
      <c r="F74" s="3"/>
      <c r="G74" s="3"/>
      <c r="H74" s="4"/>
      <c r="I74" s="3"/>
    </row>
    <row r="75" spans="1:9" x14ac:dyDescent="0.25">
      <c r="A75" s="3"/>
      <c r="B75" s="3"/>
      <c r="C75" s="3"/>
      <c r="D75" s="3"/>
      <c r="E75" s="3"/>
      <c r="F75" s="3"/>
      <c r="G75" s="3"/>
      <c r="H75" s="4"/>
      <c r="I75" s="3"/>
    </row>
    <row r="76" spans="1:9" x14ac:dyDescent="0.25">
      <c r="A76" s="3"/>
      <c r="B76" s="3"/>
      <c r="C76" s="3"/>
      <c r="D76" s="3"/>
      <c r="E76" s="3"/>
      <c r="F76" s="3"/>
      <c r="G76" s="3"/>
      <c r="H76" s="4"/>
      <c r="I76" s="3"/>
    </row>
    <row r="77" spans="1:9" x14ac:dyDescent="0.25">
      <c r="A77" s="3"/>
      <c r="B77" s="3"/>
      <c r="C77" s="3"/>
      <c r="D77" s="3"/>
      <c r="E77" s="3"/>
      <c r="F77" s="3"/>
      <c r="G77" s="3"/>
      <c r="H77" s="4"/>
      <c r="I77" s="3"/>
    </row>
    <row r="78" spans="1:9" x14ac:dyDescent="0.25">
      <c r="A78" s="3"/>
      <c r="B78" s="3"/>
      <c r="C78" s="3"/>
      <c r="D78" s="3"/>
      <c r="E78" s="3"/>
      <c r="F78" s="3"/>
      <c r="G78" s="3"/>
      <c r="H78" s="4"/>
      <c r="I78" s="3"/>
    </row>
    <row r="79" spans="1:9" x14ac:dyDescent="0.25">
      <c r="A79" s="3"/>
      <c r="B79" s="3"/>
      <c r="C79" s="3"/>
      <c r="D79" s="3"/>
      <c r="E79" s="3"/>
      <c r="F79" s="3"/>
      <c r="G79" s="3"/>
      <c r="H79" s="4"/>
      <c r="I79" s="3"/>
    </row>
    <row r="80" spans="1:9" x14ac:dyDescent="0.25">
      <c r="A80" s="3"/>
      <c r="B80" s="3"/>
      <c r="C80" s="3"/>
      <c r="D80" s="3"/>
      <c r="E80" s="3"/>
      <c r="F80" s="3"/>
      <c r="G80" s="3"/>
      <c r="H80" s="4"/>
      <c r="I80" s="3"/>
    </row>
    <row r="81" spans="1:9" x14ac:dyDescent="0.25">
      <c r="A81" s="3"/>
      <c r="B81" s="3"/>
      <c r="C81" s="3"/>
      <c r="D81" s="3"/>
      <c r="E81" s="3"/>
      <c r="F81" s="3"/>
      <c r="G81" s="3"/>
      <c r="H81" s="4"/>
      <c r="I81" s="3"/>
    </row>
    <row r="82" spans="1:9" x14ac:dyDescent="0.25">
      <c r="A82" s="3"/>
      <c r="B82" s="3"/>
      <c r="C82" s="3"/>
      <c r="D82" s="3"/>
      <c r="E82" s="3"/>
      <c r="F82" s="3"/>
      <c r="G82" s="3"/>
      <c r="H82" s="4"/>
      <c r="I82" s="3"/>
    </row>
    <row r="83" spans="1:9" x14ac:dyDescent="0.25">
      <c r="A83" s="3"/>
      <c r="B83" s="3"/>
      <c r="C83" s="3"/>
      <c r="D83" s="3"/>
      <c r="E83" s="3"/>
      <c r="F83" s="3"/>
      <c r="G83" s="3"/>
      <c r="H83" s="4"/>
      <c r="I83" s="3"/>
    </row>
    <row r="84" spans="1:9" x14ac:dyDescent="0.25">
      <c r="A84" s="3"/>
      <c r="B84" s="3"/>
      <c r="C84" s="3"/>
      <c r="D84" s="3"/>
      <c r="E84" s="3"/>
      <c r="F84" s="3"/>
      <c r="G84" s="3"/>
      <c r="H84" s="4"/>
      <c r="I84" s="3"/>
    </row>
    <row r="85" spans="1:9" x14ac:dyDescent="0.25">
      <c r="A85" s="3"/>
      <c r="B85" s="3"/>
      <c r="C85" s="3"/>
      <c r="D85" s="3"/>
      <c r="E85" s="3"/>
      <c r="F85" s="3"/>
      <c r="G85" s="3"/>
      <c r="H85" s="4"/>
      <c r="I85" s="3"/>
    </row>
    <row r="86" spans="1:9" x14ac:dyDescent="0.25">
      <c r="A86" s="3"/>
      <c r="B86" s="3"/>
      <c r="C86" s="3"/>
      <c r="D86" s="3"/>
      <c r="E86" s="3"/>
      <c r="F86" s="3"/>
      <c r="G86" s="3"/>
      <c r="H86" s="4"/>
      <c r="I86" s="3"/>
    </row>
    <row r="87" spans="1:9" x14ac:dyDescent="0.25">
      <c r="A87" s="3"/>
      <c r="B87" s="3"/>
      <c r="C87" s="3"/>
      <c r="D87" s="3"/>
      <c r="E87" s="3"/>
      <c r="F87" s="3"/>
      <c r="G87" s="3"/>
      <c r="H87" s="4"/>
      <c r="I87" s="3"/>
    </row>
    <row r="88" spans="1:9" x14ac:dyDescent="0.25">
      <c r="A88" s="3"/>
      <c r="B88" s="3"/>
      <c r="C88" s="3"/>
      <c r="D88" s="3"/>
      <c r="E88" s="3"/>
      <c r="F88" s="3"/>
      <c r="G88" s="3"/>
      <c r="H88" s="4"/>
      <c r="I88" s="3"/>
    </row>
    <row r="89" spans="1:9" x14ac:dyDescent="0.25">
      <c r="A89" s="3"/>
      <c r="B89" s="3"/>
      <c r="C89" s="3"/>
      <c r="D89" s="3"/>
      <c r="E89" s="3"/>
      <c r="F89" s="3"/>
      <c r="G89" s="3"/>
      <c r="H89" s="4"/>
      <c r="I89" s="3"/>
    </row>
    <row r="90" spans="1:9" x14ac:dyDescent="0.25">
      <c r="A90" s="3"/>
      <c r="B90" s="3"/>
      <c r="C90" s="3"/>
      <c r="D90" s="3"/>
      <c r="E90" s="3"/>
      <c r="F90" s="3"/>
      <c r="G90" s="3"/>
      <c r="H90" s="4"/>
      <c r="I90" s="3"/>
    </row>
    <row r="91" spans="1:9" x14ac:dyDescent="0.25">
      <c r="A91" s="3"/>
      <c r="B91" s="3"/>
      <c r="C91" s="3"/>
      <c r="D91" s="3"/>
      <c r="E91" s="3"/>
      <c r="F91" s="3"/>
      <c r="G91" s="3"/>
      <c r="H91" s="4"/>
      <c r="I91" s="3"/>
    </row>
    <row r="92" spans="1:9" x14ac:dyDescent="0.25">
      <c r="A92" s="3"/>
      <c r="B92" s="3"/>
      <c r="C92" s="3"/>
      <c r="D92" s="3"/>
      <c r="E92" s="3"/>
      <c r="F92" s="3"/>
      <c r="G92" s="3"/>
      <c r="H92" s="4"/>
      <c r="I92" s="3"/>
    </row>
    <row r="93" spans="1:9" x14ac:dyDescent="0.25">
      <c r="A93" s="3"/>
      <c r="B93" s="3"/>
      <c r="C93" s="3"/>
      <c r="D93" s="3"/>
      <c r="E93" s="3"/>
      <c r="F93" s="3"/>
      <c r="G93" s="3"/>
      <c r="H93" s="4"/>
      <c r="I93" s="3"/>
    </row>
    <row r="94" spans="1:9" x14ac:dyDescent="0.25">
      <c r="A94" s="3"/>
      <c r="B94" s="3"/>
      <c r="C94" s="3"/>
      <c r="D94" s="3"/>
      <c r="E94" s="3"/>
      <c r="F94" s="3"/>
      <c r="G94" s="3"/>
      <c r="H94" s="4"/>
      <c r="I94" s="3"/>
    </row>
    <row r="95" spans="1:9" x14ac:dyDescent="0.25">
      <c r="B95"/>
    </row>
    <row r="96" spans="1:9"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sheetData>
  <mergeCells count="2">
    <mergeCell ref="B27:G27"/>
    <mergeCell ref="B1:I5"/>
  </mergeCells>
  <conditionalFormatting pivot="1" sqref="C65:F70">
    <cfRule type="colorScale" priority="2">
      <colorScale>
        <cfvo type="min"/>
        <cfvo type="percentile" val="50"/>
        <cfvo type="max"/>
        <color rgb="FF63BE7B"/>
        <color rgb="FFFFEB84"/>
        <color rgb="FFF8696B"/>
      </colorScale>
    </cfRule>
  </conditionalFormatting>
  <conditionalFormatting pivot="1" sqref="C65:G70">
    <cfRule type="colorScale" priority="1">
      <colorScale>
        <cfvo type="min"/>
        <cfvo type="percentile" val="50"/>
        <cfvo type="max"/>
        <color rgb="FF63BE7B"/>
        <color rgb="FFFFEB84"/>
        <color rgb="FFF8696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6532F-206B-4BB1-A721-42943D0F8C93}">
  <sheetPr>
    <tabColor theme="1"/>
  </sheetPr>
  <dimension ref="A1:J87"/>
  <sheetViews>
    <sheetView workbookViewId="0">
      <selection activeCell="D14" sqref="D14"/>
    </sheetView>
  </sheetViews>
  <sheetFormatPr defaultRowHeight="15" x14ac:dyDescent="0.25"/>
  <cols>
    <col min="1" max="1" width="8.140625" bestFit="1" customWidth="1"/>
    <col min="2" max="2" width="14.42578125" bestFit="1" customWidth="1"/>
    <col min="3" max="3" width="14.5703125" bestFit="1" customWidth="1"/>
    <col min="4" max="4" width="22.42578125" bestFit="1" customWidth="1"/>
    <col min="5" max="5" width="10.85546875" bestFit="1" customWidth="1"/>
    <col min="6" max="6" width="11.28515625" bestFit="1" customWidth="1"/>
    <col min="7" max="7" width="18.42578125" bestFit="1" customWidth="1"/>
    <col min="8" max="8" width="16.85546875" bestFit="1" customWidth="1"/>
    <col min="9" max="9" width="10.5703125" bestFit="1" customWidth="1"/>
    <col min="10" max="10" width="39.28515625" bestFit="1" customWidth="1"/>
  </cols>
  <sheetData>
    <row r="1" spans="1:10" x14ac:dyDescent="0.25">
      <c r="A1" t="s">
        <v>0</v>
      </c>
      <c r="B1" t="s">
        <v>1</v>
      </c>
      <c r="C1" t="s">
        <v>2</v>
      </c>
      <c r="D1" t="s">
        <v>3</v>
      </c>
      <c r="E1" t="s">
        <v>4</v>
      </c>
      <c r="F1" t="s">
        <v>5</v>
      </c>
      <c r="G1" t="s">
        <v>6</v>
      </c>
      <c r="H1" t="s">
        <v>7</v>
      </c>
      <c r="I1" t="s">
        <v>8</v>
      </c>
      <c r="J1" t="s">
        <v>113</v>
      </c>
    </row>
    <row r="2" spans="1:10" x14ac:dyDescent="0.25">
      <c r="A2">
        <v>146</v>
      </c>
      <c r="B2">
        <v>63</v>
      </c>
      <c r="C2">
        <v>43.15</v>
      </c>
      <c r="D2" t="s">
        <v>9</v>
      </c>
      <c r="E2" t="s">
        <v>110</v>
      </c>
      <c r="F2">
        <v>3</v>
      </c>
      <c r="G2" t="s">
        <v>86</v>
      </c>
      <c r="H2" t="s">
        <v>10</v>
      </c>
      <c r="I2">
        <v>3</v>
      </c>
      <c r="J2" t="s">
        <v>114</v>
      </c>
    </row>
    <row r="3" spans="1:10" x14ac:dyDescent="0.25">
      <c r="A3">
        <v>164</v>
      </c>
      <c r="B3">
        <v>64</v>
      </c>
      <c r="C3">
        <v>39.020000000000003</v>
      </c>
      <c r="D3" t="s">
        <v>11</v>
      </c>
      <c r="E3" t="s">
        <v>110</v>
      </c>
      <c r="F3">
        <v>3</v>
      </c>
      <c r="G3" t="s">
        <v>87</v>
      </c>
      <c r="H3" t="s">
        <v>10</v>
      </c>
      <c r="I3">
        <v>3</v>
      </c>
      <c r="J3" t="s">
        <v>114</v>
      </c>
    </row>
    <row r="4" spans="1:10" x14ac:dyDescent="0.25">
      <c r="A4">
        <v>204</v>
      </c>
      <c r="B4">
        <v>79</v>
      </c>
      <c r="C4">
        <v>38.729999999999997</v>
      </c>
      <c r="D4" t="s">
        <v>11</v>
      </c>
      <c r="E4" t="s">
        <v>110</v>
      </c>
      <c r="F4">
        <v>2</v>
      </c>
      <c r="G4" t="s">
        <v>88</v>
      </c>
      <c r="H4" t="s">
        <v>10</v>
      </c>
      <c r="I4">
        <v>3</v>
      </c>
      <c r="J4" t="s">
        <v>114</v>
      </c>
    </row>
    <row r="5" spans="1:10" x14ac:dyDescent="0.25">
      <c r="A5">
        <v>396</v>
      </c>
      <c r="B5">
        <v>147</v>
      </c>
      <c r="C5">
        <v>37.119999999999997</v>
      </c>
      <c r="D5" t="s">
        <v>9</v>
      </c>
      <c r="E5" t="s">
        <v>110</v>
      </c>
      <c r="F5">
        <v>2</v>
      </c>
      <c r="G5" t="s">
        <v>89</v>
      </c>
      <c r="H5" t="s">
        <v>10</v>
      </c>
      <c r="I5">
        <v>3</v>
      </c>
      <c r="J5" t="s">
        <v>114</v>
      </c>
    </row>
    <row r="6" spans="1:10" x14ac:dyDescent="0.25">
      <c r="A6">
        <v>437</v>
      </c>
      <c r="B6">
        <v>162</v>
      </c>
      <c r="C6">
        <v>37.07</v>
      </c>
      <c r="D6" t="s">
        <v>12</v>
      </c>
      <c r="E6" t="s">
        <v>110</v>
      </c>
      <c r="F6">
        <v>3</v>
      </c>
      <c r="G6" t="s">
        <v>90</v>
      </c>
      <c r="H6" t="s">
        <v>10</v>
      </c>
      <c r="I6">
        <v>3</v>
      </c>
      <c r="J6" t="s">
        <v>114</v>
      </c>
    </row>
    <row r="7" spans="1:10" x14ac:dyDescent="0.25">
      <c r="A7">
        <v>135</v>
      </c>
      <c r="B7">
        <v>50</v>
      </c>
      <c r="C7">
        <v>37.04</v>
      </c>
      <c r="D7" t="s">
        <v>12</v>
      </c>
      <c r="E7" t="s">
        <v>13</v>
      </c>
      <c r="F7">
        <v>3</v>
      </c>
      <c r="G7" t="s">
        <v>14</v>
      </c>
      <c r="H7" t="s">
        <v>10</v>
      </c>
      <c r="I7">
        <v>3</v>
      </c>
      <c r="J7" t="s">
        <v>114</v>
      </c>
    </row>
    <row r="8" spans="1:10" x14ac:dyDescent="0.25">
      <c r="A8">
        <v>589</v>
      </c>
      <c r="B8">
        <v>214</v>
      </c>
      <c r="C8">
        <v>36.33</v>
      </c>
      <c r="D8" t="s">
        <v>12</v>
      </c>
      <c r="E8" t="s">
        <v>110</v>
      </c>
      <c r="F8">
        <v>2</v>
      </c>
      <c r="G8" t="s">
        <v>91</v>
      </c>
      <c r="H8" t="s">
        <v>10</v>
      </c>
      <c r="I8">
        <v>3</v>
      </c>
      <c r="J8" t="s">
        <v>114</v>
      </c>
    </row>
    <row r="9" spans="1:10" x14ac:dyDescent="0.25">
      <c r="A9">
        <v>101</v>
      </c>
      <c r="B9">
        <v>34</v>
      </c>
      <c r="C9">
        <v>33.659999999999997</v>
      </c>
      <c r="D9" t="s">
        <v>11</v>
      </c>
      <c r="E9" t="s">
        <v>13</v>
      </c>
      <c r="F9">
        <v>2</v>
      </c>
      <c r="G9" t="s">
        <v>15</v>
      </c>
      <c r="H9" t="s">
        <v>10</v>
      </c>
      <c r="I9">
        <v>3</v>
      </c>
      <c r="J9" t="s">
        <v>114</v>
      </c>
    </row>
    <row r="10" spans="1:10" x14ac:dyDescent="0.25">
      <c r="A10">
        <v>1903</v>
      </c>
      <c r="B10">
        <v>639</v>
      </c>
      <c r="C10">
        <v>33.58</v>
      </c>
      <c r="D10" t="s">
        <v>12</v>
      </c>
      <c r="E10" t="s">
        <v>110</v>
      </c>
      <c r="F10">
        <v>1</v>
      </c>
      <c r="G10" t="s">
        <v>92</v>
      </c>
      <c r="H10" t="s">
        <v>10</v>
      </c>
      <c r="I10">
        <v>3</v>
      </c>
      <c r="J10" t="s">
        <v>114</v>
      </c>
    </row>
    <row r="11" spans="1:10" x14ac:dyDescent="0.25">
      <c r="A11">
        <v>265</v>
      </c>
      <c r="B11">
        <v>88</v>
      </c>
      <c r="C11">
        <v>33.21</v>
      </c>
      <c r="D11" t="s">
        <v>16</v>
      </c>
      <c r="E11" t="s">
        <v>13</v>
      </c>
      <c r="F11">
        <v>3</v>
      </c>
      <c r="G11" t="s">
        <v>17</v>
      </c>
      <c r="H11" t="s">
        <v>10</v>
      </c>
      <c r="I11">
        <v>3</v>
      </c>
      <c r="J11" t="s">
        <v>114</v>
      </c>
    </row>
    <row r="12" spans="1:10" x14ac:dyDescent="0.25">
      <c r="A12">
        <v>209</v>
      </c>
      <c r="B12">
        <v>68</v>
      </c>
      <c r="C12">
        <v>32.54</v>
      </c>
      <c r="D12" t="s">
        <v>16</v>
      </c>
      <c r="E12" t="s">
        <v>18</v>
      </c>
      <c r="F12">
        <v>3</v>
      </c>
      <c r="G12" t="s">
        <v>19</v>
      </c>
      <c r="H12" t="s">
        <v>10</v>
      </c>
      <c r="I12">
        <v>3</v>
      </c>
      <c r="J12" t="s">
        <v>114</v>
      </c>
    </row>
    <row r="13" spans="1:10" x14ac:dyDescent="0.25">
      <c r="A13">
        <v>235</v>
      </c>
      <c r="B13">
        <v>76</v>
      </c>
      <c r="C13">
        <v>32.340000000000003</v>
      </c>
      <c r="D13" t="s">
        <v>9</v>
      </c>
      <c r="E13" t="s">
        <v>13</v>
      </c>
      <c r="F13">
        <v>2</v>
      </c>
      <c r="G13" t="s">
        <v>20</v>
      </c>
      <c r="H13" t="s">
        <v>10</v>
      </c>
      <c r="I13">
        <v>3</v>
      </c>
      <c r="J13" t="s">
        <v>114</v>
      </c>
    </row>
    <row r="14" spans="1:10" x14ac:dyDescent="0.25">
      <c r="A14">
        <v>124</v>
      </c>
      <c r="B14">
        <v>40</v>
      </c>
      <c r="C14">
        <v>32.26</v>
      </c>
      <c r="D14" t="s">
        <v>12</v>
      </c>
      <c r="E14" t="s">
        <v>18</v>
      </c>
      <c r="F14">
        <v>3</v>
      </c>
      <c r="G14" t="s">
        <v>21</v>
      </c>
      <c r="H14" t="s">
        <v>10</v>
      </c>
      <c r="I14">
        <v>3</v>
      </c>
      <c r="J14" t="s">
        <v>114</v>
      </c>
    </row>
    <row r="15" spans="1:10" x14ac:dyDescent="0.25">
      <c r="A15">
        <v>152</v>
      </c>
      <c r="B15">
        <v>49</v>
      </c>
      <c r="C15">
        <v>32.24</v>
      </c>
      <c r="D15" t="s">
        <v>22</v>
      </c>
      <c r="E15" t="s">
        <v>110</v>
      </c>
      <c r="F15">
        <v>3</v>
      </c>
      <c r="G15" t="s">
        <v>93</v>
      </c>
      <c r="H15" t="s">
        <v>10</v>
      </c>
      <c r="I15">
        <v>3</v>
      </c>
      <c r="J15" t="s">
        <v>114</v>
      </c>
    </row>
    <row r="16" spans="1:10" x14ac:dyDescent="0.25">
      <c r="A16">
        <v>624</v>
      </c>
      <c r="B16">
        <v>198</v>
      </c>
      <c r="C16">
        <v>31.73</v>
      </c>
      <c r="D16" t="s">
        <v>16</v>
      </c>
      <c r="E16" t="s">
        <v>110</v>
      </c>
      <c r="F16">
        <v>3</v>
      </c>
      <c r="G16" t="s">
        <v>94</v>
      </c>
      <c r="H16" t="s">
        <v>10</v>
      </c>
      <c r="I16">
        <v>3</v>
      </c>
      <c r="J16" t="s">
        <v>114</v>
      </c>
    </row>
    <row r="17" spans="1:10" x14ac:dyDescent="0.25">
      <c r="A17">
        <v>2390</v>
      </c>
      <c r="B17">
        <v>751</v>
      </c>
      <c r="C17">
        <v>31.42</v>
      </c>
      <c r="D17" t="s">
        <v>9</v>
      </c>
      <c r="E17" t="s">
        <v>110</v>
      </c>
      <c r="F17">
        <v>1</v>
      </c>
      <c r="G17" t="s">
        <v>95</v>
      </c>
      <c r="H17" t="s">
        <v>10</v>
      </c>
      <c r="I17">
        <v>3</v>
      </c>
      <c r="J17" t="s">
        <v>114</v>
      </c>
    </row>
    <row r="18" spans="1:10" x14ac:dyDescent="0.25">
      <c r="A18">
        <v>8237</v>
      </c>
      <c r="B18">
        <v>2545</v>
      </c>
      <c r="C18">
        <v>30.9</v>
      </c>
      <c r="D18" t="s">
        <v>12</v>
      </c>
      <c r="E18" t="s">
        <v>110</v>
      </c>
      <c r="F18">
        <v>0</v>
      </c>
      <c r="G18" t="s">
        <v>96</v>
      </c>
      <c r="H18" t="s">
        <v>10</v>
      </c>
      <c r="I18">
        <v>3</v>
      </c>
      <c r="J18" t="s">
        <v>114</v>
      </c>
    </row>
    <row r="19" spans="1:10" x14ac:dyDescent="0.25">
      <c r="A19">
        <v>118</v>
      </c>
      <c r="B19">
        <v>36</v>
      </c>
      <c r="C19">
        <v>30.51</v>
      </c>
      <c r="D19" t="s">
        <v>12</v>
      </c>
      <c r="E19" t="s">
        <v>23</v>
      </c>
      <c r="F19">
        <v>2</v>
      </c>
      <c r="G19" t="s">
        <v>24</v>
      </c>
      <c r="H19" t="s">
        <v>10</v>
      </c>
      <c r="I19">
        <v>3</v>
      </c>
      <c r="J19" t="s">
        <v>114</v>
      </c>
    </row>
    <row r="20" spans="1:10" x14ac:dyDescent="0.25">
      <c r="A20">
        <v>927</v>
      </c>
      <c r="B20">
        <v>272</v>
      </c>
      <c r="C20">
        <v>29.34</v>
      </c>
      <c r="D20" t="s">
        <v>11</v>
      </c>
      <c r="E20" t="s">
        <v>110</v>
      </c>
      <c r="F20">
        <v>1</v>
      </c>
      <c r="G20" t="s">
        <v>97</v>
      </c>
      <c r="H20" t="s">
        <v>10</v>
      </c>
      <c r="I20">
        <v>3</v>
      </c>
      <c r="J20" t="s">
        <v>114</v>
      </c>
    </row>
    <row r="21" spans="1:10" x14ac:dyDescent="0.25">
      <c r="A21">
        <v>900</v>
      </c>
      <c r="B21">
        <v>258</v>
      </c>
      <c r="C21">
        <v>28.67</v>
      </c>
      <c r="D21" t="s">
        <v>12</v>
      </c>
      <c r="E21" t="s">
        <v>13</v>
      </c>
      <c r="F21">
        <v>1</v>
      </c>
      <c r="G21" t="s">
        <v>25</v>
      </c>
      <c r="H21" t="s">
        <v>10</v>
      </c>
      <c r="I21">
        <v>3</v>
      </c>
      <c r="J21" t="s">
        <v>114</v>
      </c>
    </row>
    <row r="22" spans="1:10" x14ac:dyDescent="0.25">
      <c r="A22">
        <v>245</v>
      </c>
      <c r="B22">
        <v>70</v>
      </c>
      <c r="C22">
        <v>28.57</v>
      </c>
      <c r="D22" t="s">
        <v>26</v>
      </c>
      <c r="E22" t="s">
        <v>110</v>
      </c>
      <c r="F22">
        <v>3</v>
      </c>
      <c r="G22" t="s">
        <v>98</v>
      </c>
      <c r="H22" t="s">
        <v>10</v>
      </c>
      <c r="I22">
        <v>3</v>
      </c>
      <c r="J22" t="s">
        <v>114</v>
      </c>
    </row>
    <row r="23" spans="1:10" x14ac:dyDescent="0.25">
      <c r="A23">
        <v>3651</v>
      </c>
      <c r="B23">
        <v>1042</v>
      </c>
      <c r="C23">
        <v>28.54</v>
      </c>
      <c r="D23" t="s">
        <v>12</v>
      </c>
      <c r="E23" t="s">
        <v>18</v>
      </c>
      <c r="F23">
        <v>0</v>
      </c>
      <c r="G23" t="s">
        <v>27</v>
      </c>
      <c r="H23" t="s">
        <v>10</v>
      </c>
      <c r="I23">
        <v>3</v>
      </c>
      <c r="J23" t="s">
        <v>114</v>
      </c>
    </row>
    <row r="24" spans="1:10" x14ac:dyDescent="0.25">
      <c r="A24">
        <v>33550</v>
      </c>
      <c r="B24">
        <v>9460</v>
      </c>
      <c r="C24">
        <v>28.2</v>
      </c>
      <c r="D24" t="s">
        <v>9</v>
      </c>
      <c r="E24" t="s">
        <v>110</v>
      </c>
      <c r="F24">
        <v>0</v>
      </c>
      <c r="G24" t="s">
        <v>99</v>
      </c>
      <c r="H24" t="s">
        <v>10</v>
      </c>
      <c r="I24">
        <v>3</v>
      </c>
      <c r="J24" t="s">
        <v>114</v>
      </c>
    </row>
    <row r="25" spans="1:10" x14ac:dyDescent="0.25">
      <c r="A25">
        <v>305</v>
      </c>
      <c r="B25">
        <v>86</v>
      </c>
      <c r="C25">
        <v>28.2</v>
      </c>
      <c r="D25" t="s">
        <v>26</v>
      </c>
      <c r="E25" t="s">
        <v>110</v>
      </c>
      <c r="F25">
        <v>2</v>
      </c>
      <c r="G25" t="s">
        <v>100</v>
      </c>
      <c r="H25" t="s">
        <v>10</v>
      </c>
      <c r="I25">
        <v>3</v>
      </c>
      <c r="J25" t="s">
        <v>114</v>
      </c>
    </row>
    <row r="26" spans="1:10" x14ac:dyDescent="0.25">
      <c r="A26">
        <v>914</v>
      </c>
      <c r="B26">
        <v>254</v>
      </c>
      <c r="C26">
        <v>27.79</v>
      </c>
      <c r="D26" t="s">
        <v>16</v>
      </c>
      <c r="E26" t="s">
        <v>110</v>
      </c>
      <c r="F26">
        <v>2</v>
      </c>
      <c r="G26" t="s">
        <v>101</v>
      </c>
      <c r="H26" t="s">
        <v>10</v>
      </c>
      <c r="I26">
        <v>3</v>
      </c>
      <c r="J26" t="s">
        <v>114</v>
      </c>
    </row>
    <row r="27" spans="1:10" x14ac:dyDescent="0.25">
      <c r="A27">
        <v>633</v>
      </c>
      <c r="B27">
        <v>174</v>
      </c>
      <c r="C27">
        <v>27.49</v>
      </c>
      <c r="D27" t="s">
        <v>12</v>
      </c>
      <c r="E27" t="s">
        <v>18</v>
      </c>
      <c r="F27">
        <v>1</v>
      </c>
      <c r="G27" t="s">
        <v>28</v>
      </c>
      <c r="H27" t="s">
        <v>10</v>
      </c>
      <c r="I27">
        <v>3</v>
      </c>
      <c r="J27" t="s">
        <v>114</v>
      </c>
    </row>
    <row r="28" spans="1:10" x14ac:dyDescent="0.25">
      <c r="A28">
        <v>257</v>
      </c>
      <c r="B28">
        <v>70</v>
      </c>
      <c r="C28">
        <v>27.24</v>
      </c>
      <c r="D28" t="s">
        <v>12</v>
      </c>
      <c r="E28" t="s">
        <v>13</v>
      </c>
      <c r="F28">
        <v>2</v>
      </c>
      <c r="G28" t="s">
        <v>29</v>
      </c>
      <c r="H28" t="s">
        <v>10</v>
      </c>
      <c r="I28">
        <v>3</v>
      </c>
      <c r="J28" t="s">
        <v>114</v>
      </c>
    </row>
    <row r="29" spans="1:10" x14ac:dyDescent="0.25">
      <c r="A29">
        <v>4250</v>
      </c>
      <c r="B29">
        <v>1151</v>
      </c>
      <c r="C29">
        <v>27.08</v>
      </c>
      <c r="D29" t="s">
        <v>12</v>
      </c>
      <c r="E29" t="s">
        <v>13</v>
      </c>
      <c r="F29">
        <v>0</v>
      </c>
      <c r="G29" t="s">
        <v>30</v>
      </c>
      <c r="H29" t="s">
        <v>10</v>
      </c>
      <c r="I29">
        <v>3</v>
      </c>
      <c r="J29" t="s">
        <v>114</v>
      </c>
    </row>
    <row r="30" spans="1:10" x14ac:dyDescent="0.25">
      <c r="A30">
        <v>639</v>
      </c>
      <c r="B30">
        <v>173</v>
      </c>
      <c r="C30">
        <v>27.07</v>
      </c>
      <c r="D30" t="s">
        <v>22</v>
      </c>
      <c r="E30" t="s">
        <v>110</v>
      </c>
      <c r="F30">
        <v>1</v>
      </c>
      <c r="G30" t="s">
        <v>102</v>
      </c>
      <c r="H30" t="s">
        <v>10</v>
      </c>
      <c r="I30">
        <v>3</v>
      </c>
      <c r="J30" t="s">
        <v>114</v>
      </c>
    </row>
    <row r="31" spans="1:10" x14ac:dyDescent="0.25">
      <c r="A31">
        <v>184</v>
      </c>
      <c r="B31">
        <v>49</v>
      </c>
      <c r="C31">
        <v>26.63</v>
      </c>
      <c r="D31" t="s">
        <v>16</v>
      </c>
      <c r="E31" t="s">
        <v>23</v>
      </c>
      <c r="F31">
        <v>3</v>
      </c>
      <c r="G31" t="s">
        <v>31</v>
      </c>
      <c r="H31" t="s">
        <v>10</v>
      </c>
      <c r="I31">
        <v>3</v>
      </c>
      <c r="J31" t="s">
        <v>114</v>
      </c>
    </row>
    <row r="32" spans="1:10" x14ac:dyDescent="0.25">
      <c r="A32">
        <v>264</v>
      </c>
      <c r="B32">
        <v>70</v>
      </c>
      <c r="C32">
        <v>26.52</v>
      </c>
      <c r="D32" t="s">
        <v>22</v>
      </c>
      <c r="E32" t="s">
        <v>13</v>
      </c>
      <c r="F32">
        <v>1</v>
      </c>
      <c r="G32" t="s">
        <v>32</v>
      </c>
      <c r="H32" t="s">
        <v>10</v>
      </c>
      <c r="I32">
        <v>3</v>
      </c>
      <c r="J32" t="s">
        <v>114</v>
      </c>
    </row>
    <row r="33" spans="1:10" x14ac:dyDescent="0.25">
      <c r="A33">
        <v>167</v>
      </c>
      <c r="B33">
        <v>44</v>
      </c>
      <c r="C33">
        <v>26.35</v>
      </c>
      <c r="D33" t="s">
        <v>12</v>
      </c>
      <c r="E33" t="s">
        <v>18</v>
      </c>
      <c r="F33">
        <v>2</v>
      </c>
      <c r="G33" t="s">
        <v>33</v>
      </c>
      <c r="H33" t="s">
        <v>10</v>
      </c>
      <c r="I33">
        <v>3</v>
      </c>
      <c r="J33" t="s">
        <v>114</v>
      </c>
    </row>
    <row r="34" spans="1:10" x14ac:dyDescent="0.25">
      <c r="A34">
        <v>128</v>
      </c>
      <c r="B34">
        <v>33</v>
      </c>
      <c r="C34">
        <v>25.78</v>
      </c>
      <c r="D34" t="s">
        <v>26</v>
      </c>
      <c r="E34" t="s">
        <v>13</v>
      </c>
      <c r="F34">
        <v>2</v>
      </c>
      <c r="G34" t="s">
        <v>34</v>
      </c>
      <c r="H34" t="s">
        <v>10</v>
      </c>
      <c r="I34">
        <v>3</v>
      </c>
      <c r="J34" t="s">
        <v>114</v>
      </c>
    </row>
    <row r="35" spans="1:10" x14ac:dyDescent="0.25">
      <c r="A35">
        <v>3303</v>
      </c>
      <c r="B35">
        <v>829</v>
      </c>
      <c r="C35">
        <v>25.1</v>
      </c>
      <c r="D35" t="s">
        <v>22</v>
      </c>
      <c r="E35" t="s">
        <v>110</v>
      </c>
      <c r="F35">
        <v>0</v>
      </c>
      <c r="G35" t="s">
        <v>103</v>
      </c>
      <c r="H35" t="s">
        <v>10</v>
      </c>
      <c r="I35">
        <v>3</v>
      </c>
      <c r="J35" t="s">
        <v>114</v>
      </c>
    </row>
    <row r="36" spans="1:10" x14ac:dyDescent="0.25">
      <c r="A36">
        <v>381</v>
      </c>
      <c r="B36">
        <v>95</v>
      </c>
      <c r="C36">
        <v>24.93</v>
      </c>
      <c r="D36" t="s">
        <v>16</v>
      </c>
      <c r="E36" t="s">
        <v>13</v>
      </c>
      <c r="F36">
        <v>2</v>
      </c>
      <c r="G36" t="s">
        <v>35</v>
      </c>
      <c r="H36" t="s">
        <v>36</v>
      </c>
      <c r="I36">
        <v>2</v>
      </c>
      <c r="J36" t="s">
        <v>115</v>
      </c>
    </row>
    <row r="37" spans="1:10" x14ac:dyDescent="0.25">
      <c r="A37">
        <v>1275</v>
      </c>
      <c r="B37">
        <v>312</v>
      </c>
      <c r="C37">
        <v>24.47</v>
      </c>
      <c r="D37" t="s">
        <v>9</v>
      </c>
      <c r="E37" t="s">
        <v>13</v>
      </c>
      <c r="F37">
        <v>1</v>
      </c>
      <c r="G37" t="s">
        <v>37</v>
      </c>
      <c r="H37" t="s">
        <v>36</v>
      </c>
      <c r="I37">
        <v>2</v>
      </c>
      <c r="J37" t="s">
        <v>115</v>
      </c>
    </row>
    <row r="38" spans="1:10" x14ac:dyDescent="0.25">
      <c r="A38">
        <v>419</v>
      </c>
      <c r="B38">
        <v>102</v>
      </c>
      <c r="C38">
        <v>24.34</v>
      </c>
      <c r="D38" t="s">
        <v>11</v>
      </c>
      <c r="E38" t="s">
        <v>13</v>
      </c>
      <c r="F38">
        <v>1</v>
      </c>
      <c r="G38" t="s">
        <v>38</v>
      </c>
      <c r="H38" t="s">
        <v>36</v>
      </c>
      <c r="I38">
        <v>2</v>
      </c>
      <c r="J38" t="s">
        <v>115</v>
      </c>
    </row>
    <row r="39" spans="1:10" x14ac:dyDescent="0.25">
      <c r="A39">
        <v>20853</v>
      </c>
      <c r="B39">
        <v>5074</v>
      </c>
      <c r="C39">
        <v>24.33</v>
      </c>
      <c r="D39" t="s">
        <v>9</v>
      </c>
      <c r="E39" t="s">
        <v>13</v>
      </c>
      <c r="F39">
        <v>0</v>
      </c>
      <c r="G39" t="s">
        <v>39</v>
      </c>
      <c r="H39" t="s">
        <v>36</v>
      </c>
      <c r="I39">
        <v>2</v>
      </c>
      <c r="J39" t="s">
        <v>115</v>
      </c>
    </row>
    <row r="40" spans="1:10" x14ac:dyDescent="0.25">
      <c r="A40">
        <v>157</v>
      </c>
      <c r="B40">
        <v>38</v>
      </c>
      <c r="C40">
        <v>24.2</v>
      </c>
      <c r="D40" t="s">
        <v>9</v>
      </c>
      <c r="E40" t="s">
        <v>18</v>
      </c>
      <c r="F40">
        <v>2</v>
      </c>
      <c r="G40" t="s">
        <v>40</v>
      </c>
      <c r="H40" t="s">
        <v>36</v>
      </c>
      <c r="I40">
        <v>2</v>
      </c>
      <c r="J40" t="s">
        <v>115</v>
      </c>
    </row>
    <row r="41" spans="1:10" x14ac:dyDescent="0.25">
      <c r="A41">
        <v>3492</v>
      </c>
      <c r="B41">
        <v>841</v>
      </c>
      <c r="C41">
        <v>24.08</v>
      </c>
      <c r="D41" t="s">
        <v>11</v>
      </c>
      <c r="E41" t="s">
        <v>110</v>
      </c>
      <c r="F41">
        <v>0</v>
      </c>
      <c r="G41" t="s">
        <v>104</v>
      </c>
      <c r="H41" t="s">
        <v>36</v>
      </c>
      <c r="I41">
        <v>2</v>
      </c>
      <c r="J41" t="s">
        <v>115</v>
      </c>
    </row>
    <row r="42" spans="1:10" x14ac:dyDescent="0.25">
      <c r="A42">
        <v>268</v>
      </c>
      <c r="B42">
        <v>64</v>
      </c>
      <c r="C42">
        <v>23.88</v>
      </c>
      <c r="D42" t="s">
        <v>16</v>
      </c>
      <c r="E42" t="s">
        <v>18</v>
      </c>
      <c r="F42">
        <v>2</v>
      </c>
      <c r="G42" t="s">
        <v>41</v>
      </c>
      <c r="H42" t="s">
        <v>36</v>
      </c>
      <c r="I42">
        <v>2</v>
      </c>
      <c r="J42" t="s">
        <v>115</v>
      </c>
    </row>
    <row r="43" spans="1:10" x14ac:dyDescent="0.25">
      <c r="A43">
        <v>3200</v>
      </c>
      <c r="B43">
        <v>752</v>
      </c>
      <c r="C43">
        <v>23.5</v>
      </c>
      <c r="D43" t="s">
        <v>16</v>
      </c>
      <c r="E43" t="s">
        <v>110</v>
      </c>
      <c r="F43">
        <v>1</v>
      </c>
      <c r="G43" t="s">
        <v>105</v>
      </c>
      <c r="H43" t="s">
        <v>36</v>
      </c>
      <c r="I43">
        <v>2</v>
      </c>
      <c r="J43" t="s">
        <v>115</v>
      </c>
    </row>
    <row r="44" spans="1:10" x14ac:dyDescent="0.25">
      <c r="A44">
        <v>1735</v>
      </c>
      <c r="B44">
        <v>404</v>
      </c>
      <c r="C44">
        <v>23.29</v>
      </c>
      <c r="D44" t="s">
        <v>22</v>
      </c>
      <c r="E44" t="s">
        <v>13</v>
      </c>
      <c r="F44">
        <v>0</v>
      </c>
      <c r="G44" t="s">
        <v>42</v>
      </c>
      <c r="H44" t="s">
        <v>36</v>
      </c>
      <c r="I44">
        <v>2</v>
      </c>
      <c r="J44" t="s">
        <v>115</v>
      </c>
    </row>
    <row r="45" spans="1:10" x14ac:dyDescent="0.25">
      <c r="A45">
        <v>20079</v>
      </c>
      <c r="B45">
        <v>4672</v>
      </c>
      <c r="C45">
        <v>23.27</v>
      </c>
      <c r="D45" t="s">
        <v>9</v>
      </c>
      <c r="E45" t="s">
        <v>18</v>
      </c>
      <c r="F45">
        <v>0</v>
      </c>
      <c r="G45" t="s">
        <v>43</v>
      </c>
      <c r="H45" t="s">
        <v>36</v>
      </c>
      <c r="I45">
        <v>2</v>
      </c>
      <c r="J45" t="s">
        <v>115</v>
      </c>
    </row>
    <row r="46" spans="1:10" x14ac:dyDescent="0.25">
      <c r="A46">
        <v>924</v>
      </c>
      <c r="B46">
        <v>214</v>
      </c>
      <c r="C46">
        <v>23.16</v>
      </c>
      <c r="D46" t="s">
        <v>26</v>
      </c>
      <c r="E46" t="s">
        <v>110</v>
      </c>
      <c r="F46">
        <v>1</v>
      </c>
      <c r="G46" t="s">
        <v>106</v>
      </c>
      <c r="H46" t="s">
        <v>36</v>
      </c>
      <c r="I46">
        <v>2</v>
      </c>
      <c r="J46" t="s">
        <v>115</v>
      </c>
    </row>
    <row r="47" spans="1:10" x14ac:dyDescent="0.25">
      <c r="A47">
        <v>537</v>
      </c>
      <c r="B47">
        <v>123</v>
      </c>
      <c r="C47">
        <v>22.91</v>
      </c>
      <c r="D47" t="s">
        <v>12</v>
      </c>
      <c r="E47" t="s">
        <v>23</v>
      </c>
      <c r="F47">
        <v>1</v>
      </c>
      <c r="G47" t="s">
        <v>44</v>
      </c>
      <c r="H47" t="s">
        <v>36</v>
      </c>
      <c r="I47">
        <v>2</v>
      </c>
      <c r="J47" t="s">
        <v>115</v>
      </c>
    </row>
    <row r="48" spans="1:10" x14ac:dyDescent="0.25">
      <c r="A48">
        <v>3050</v>
      </c>
      <c r="B48">
        <v>696</v>
      </c>
      <c r="C48">
        <v>22.82</v>
      </c>
      <c r="D48" t="s">
        <v>12</v>
      </c>
      <c r="E48" t="s">
        <v>23</v>
      </c>
      <c r="F48">
        <v>0</v>
      </c>
      <c r="G48" t="s">
        <v>45</v>
      </c>
      <c r="H48" t="s">
        <v>36</v>
      </c>
      <c r="I48">
        <v>2</v>
      </c>
      <c r="J48" t="s">
        <v>115</v>
      </c>
    </row>
    <row r="49" spans="1:10" x14ac:dyDescent="0.25">
      <c r="A49">
        <v>172</v>
      </c>
      <c r="B49">
        <v>39</v>
      </c>
      <c r="C49">
        <v>22.67</v>
      </c>
      <c r="D49" t="s">
        <v>22</v>
      </c>
      <c r="E49" t="s">
        <v>110</v>
      </c>
      <c r="F49">
        <v>2</v>
      </c>
      <c r="G49" t="s">
        <v>107</v>
      </c>
      <c r="H49" t="s">
        <v>36</v>
      </c>
      <c r="I49">
        <v>2</v>
      </c>
      <c r="J49" t="s">
        <v>115</v>
      </c>
    </row>
    <row r="50" spans="1:10" x14ac:dyDescent="0.25">
      <c r="A50">
        <v>275</v>
      </c>
      <c r="B50">
        <v>62</v>
      </c>
      <c r="C50">
        <v>22.55</v>
      </c>
      <c r="D50" t="s">
        <v>26</v>
      </c>
      <c r="E50" t="s">
        <v>18</v>
      </c>
      <c r="F50">
        <v>1</v>
      </c>
      <c r="G50" t="s">
        <v>46</v>
      </c>
      <c r="H50" t="s">
        <v>36</v>
      </c>
      <c r="I50">
        <v>2</v>
      </c>
      <c r="J50" t="s">
        <v>115</v>
      </c>
    </row>
    <row r="51" spans="1:10" x14ac:dyDescent="0.25">
      <c r="A51">
        <v>934</v>
      </c>
      <c r="B51">
        <v>204</v>
      </c>
      <c r="C51">
        <v>21.84</v>
      </c>
      <c r="D51" t="s">
        <v>9</v>
      </c>
      <c r="E51" t="s">
        <v>18</v>
      </c>
      <c r="F51">
        <v>1</v>
      </c>
      <c r="G51" t="s">
        <v>47</v>
      </c>
      <c r="H51" t="s">
        <v>36</v>
      </c>
      <c r="I51">
        <v>2</v>
      </c>
      <c r="J51" t="s">
        <v>115</v>
      </c>
    </row>
    <row r="52" spans="1:10" x14ac:dyDescent="0.25">
      <c r="A52">
        <v>279</v>
      </c>
      <c r="B52">
        <v>59</v>
      </c>
      <c r="C52">
        <v>21.15</v>
      </c>
      <c r="D52" t="s">
        <v>12</v>
      </c>
      <c r="E52" t="s">
        <v>48</v>
      </c>
      <c r="F52">
        <v>1</v>
      </c>
      <c r="G52" t="s">
        <v>49</v>
      </c>
      <c r="H52" t="s">
        <v>36</v>
      </c>
      <c r="I52">
        <v>2</v>
      </c>
      <c r="J52" t="s">
        <v>115</v>
      </c>
    </row>
    <row r="53" spans="1:10" x14ac:dyDescent="0.25">
      <c r="A53">
        <v>1902</v>
      </c>
      <c r="B53">
        <v>402</v>
      </c>
      <c r="C53">
        <v>21.14</v>
      </c>
      <c r="D53" t="s">
        <v>11</v>
      </c>
      <c r="E53" t="s">
        <v>13</v>
      </c>
      <c r="F53">
        <v>0</v>
      </c>
      <c r="G53" t="s">
        <v>50</v>
      </c>
      <c r="H53" t="s">
        <v>36</v>
      </c>
      <c r="I53">
        <v>2</v>
      </c>
      <c r="J53" t="s">
        <v>115</v>
      </c>
    </row>
    <row r="54" spans="1:10" x14ac:dyDescent="0.25">
      <c r="A54">
        <v>879</v>
      </c>
      <c r="B54">
        <v>184</v>
      </c>
      <c r="C54">
        <v>20.93</v>
      </c>
      <c r="D54" t="s">
        <v>16</v>
      </c>
      <c r="E54" t="s">
        <v>23</v>
      </c>
      <c r="F54">
        <v>1</v>
      </c>
      <c r="G54" t="s">
        <v>51</v>
      </c>
      <c r="H54" t="s">
        <v>36</v>
      </c>
      <c r="I54">
        <v>2</v>
      </c>
      <c r="J54" t="s">
        <v>115</v>
      </c>
    </row>
    <row r="55" spans="1:10" x14ac:dyDescent="0.25">
      <c r="A55">
        <v>1925</v>
      </c>
      <c r="B55">
        <v>394</v>
      </c>
      <c r="C55">
        <v>20.47</v>
      </c>
      <c r="D55" t="s">
        <v>12</v>
      </c>
      <c r="E55" t="s">
        <v>48</v>
      </c>
      <c r="F55">
        <v>0</v>
      </c>
      <c r="G55" t="s">
        <v>52</v>
      </c>
      <c r="H55" t="s">
        <v>36</v>
      </c>
      <c r="I55">
        <v>2</v>
      </c>
      <c r="J55" t="s">
        <v>115</v>
      </c>
    </row>
    <row r="56" spans="1:10" x14ac:dyDescent="0.25">
      <c r="A56">
        <v>347</v>
      </c>
      <c r="B56">
        <v>71</v>
      </c>
      <c r="C56">
        <v>20.46</v>
      </c>
      <c r="D56" t="s">
        <v>11</v>
      </c>
      <c r="E56" t="s">
        <v>18</v>
      </c>
      <c r="F56">
        <v>1</v>
      </c>
      <c r="G56" t="s">
        <v>53</v>
      </c>
      <c r="H56" t="s">
        <v>36</v>
      </c>
      <c r="I56">
        <v>2</v>
      </c>
      <c r="J56" t="s">
        <v>115</v>
      </c>
    </row>
    <row r="57" spans="1:10" x14ac:dyDescent="0.25">
      <c r="A57">
        <v>1487</v>
      </c>
      <c r="B57">
        <v>300</v>
      </c>
      <c r="C57">
        <v>20.170000000000002</v>
      </c>
      <c r="D57" t="s">
        <v>22</v>
      </c>
      <c r="E57" t="s">
        <v>18</v>
      </c>
      <c r="F57">
        <v>0</v>
      </c>
      <c r="G57" t="s">
        <v>54</v>
      </c>
      <c r="H57" t="s">
        <v>36</v>
      </c>
      <c r="I57">
        <v>2</v>
      </c>
      <c r="J57" t="s">
        <v>115</v>
      </c>
    </row>
    <row r="58" spans="1:10" x14ac:dyDescent="0.25">
      <c r="A58">
        <v>1401</v>
      </c>
      <c r="B58">
        <v>281</v>
      </c>
      <c r="C58">
        <v>20.059999999999999</v>
      </c>
      <c r="D58" t="s">
        <v>16</v>
      </c>
      <c r="E58" t="s">
        <v>13</v>
      </c>
      <c r="F58">
        <v>1</v>
      </c>
      <c r="G58" t="s">
        <v>55</v>
      </c>
      <c r="H58" t="s">
        <v>36</v>
      </c>
      <c r="I58">
        <v>2</v>
      </c>
      <c r="J58" t="s">
        <v>115</v>
      </c>
    </row>
    <row r="59" spans="1:10" x14ac:dyDescent="0.25">
      <c r="A59">
        <v>180</v>
      </c>
      <c r="B59">
        <v>36</v>
      </c>
      <c r="C59">
        <v>20</v>
      </c>
      <c r="D59" t="s">
        <v>22</v>
      </c>
      <c r="E59" t="s">
        <v>18</v>
      </c>
      <c r="F59">
        <v>1</v>
      </c>
      <c r="G59" t="s">
        <v>56</v>
      </c>
      <c r="H59" t="s">
        <v>36</v>
      </c>
      <c r="I59">
        <v>2</v>
      </c>
      <c r="J59" t="s">
        <v>115</v>
      </c>
    </row>
    <row r="60" spans="1:10" x14ac:dyDescent="0.25">
      <c r="A60">
        <v>208</v>
      </c>
      <c r="B60">
        <v>41</v>
      </c>
      <c r="C60">
        <v>19.71</v>
      </c>
      <c r="D60" t="s">
        <v>16</v>
      </c>
      <c r="E60" t="s">
        <v>23</v>
      </c>
      <c r="F60">
        <v>2</v>
      </c>
      <c r="G60" t="s">
        <v>57</v>
      </c>
      <c r="H60" t="s">
        <v>58</v>
      </c>
      <c r="I60">
        <v>1</v>
      </c>
      <c r="J60" t="s">
        <v>116</v>
      </c>
    </row>
    <row r="61" spans="1:10" x14ac:dyDescent="0.25">
      <c r="A61">
        <v>4038</v>
      </c>
      <c r="B61">
        <v>792</v>
      </c>
      <c r="C61">
        <v>19.61</v>
      </c>
      <c r="D61" t="s">
        <v>26</v>
      </c>
      <c r="E61" t="s">
        <v>110</v>
      </c>
      <c r="F61">
        <v>0</v>
      </c>
      <c r="G61" t="s">
        <v>108</v>
      </c>
      <c r="H61" t="s">
        <v>58</v>
      </c>
      <c r="I61">
        <v>1</v>
      </c>
      <c r="J61" t="s">
        <v>116</v>
      </c>
    </row>
    <row r="62" spans="1:10" x14ac:dyDescent="0.25">
      <c r="A62">
        <v>352</v>
      </c>
      <c r="B62">
        <v>69</v>
      </c>
      <c r="C62">
        <v>19.600000000000001</v>
      </c>
      <c r="D62" t="s">
        <v>26</v>
      </c>
      <c r="E62" t="s">
        <v>13</v>
      </c>
      <c r="F62">
        <v>1</v>
      </c>
      <c r="G62" t="s">
        <v>59</v>
      </c>
      <c r="H62" t="s">
        <v>58</v>
      </c>
      <c r="I62">
        <v>1</v>
      </c>
      <c r="J62" t="s">
        <v>116</v>
      </c>
    </row>
    <row r="63" spans="1:10" x14ac:dyDescent="0.25">
      <c r="A63">
        <v>162</v>
      </c>
      <c r="B63">
        <v>31</v>
      </c>
      <c r="C63">
        <v>19.14</v>
      </c>
      <c r="D63" t="s">
        <v>22</v>
      </c>
      <c r="E63" t="s">
        <v>23</v>
      </c>
      <c r="F63">
        <v>1</v>
      </c>
      <c r="G63" t="s">
        <v>60</v>
      </c>
      <c r="H63" t="s">
        <v>58</v>
      </c>
      <c r="I63">
        <v>1</v>
      </c>
      <c r="J63" t="s">
        <v>116</v>
      </c>
    </row>
    <row r="64" spans="1:10" x14ac:dyDescent="0.25">
      <c r="A64">
        <v>1097</v>
      </c>
      <c r="B64">
        <v>210</v>
      </c>
      <c r="C64">
        <v>19.14</v>
      </c>
      <c r="D64" t="s">
        <v>16</v>
      </c>
      <c r="E64" t="s">
        <v>18</v>
      </c>
      <c r="F64">
        <v>1</v>
      </c>
      <c r="G64" t="s">
        <v>61</v>
      </c>
      <c r="H64" t="s">
        <v>58</v>
      </c>
      <c r="I64">
        <v>1</v>
      </c>
      <c r="J64" t="s">
        <v>116</v>
      </c>
    </row>
    <row r="65" spans="1:10" x14ac:dyDescent="0.25">
      <c r="A65">
        <v>1758</v>
      </c>
      <c r="B65">
        <v>332</v>
      </c>
      <c r="C65">
        <v>18.89</v>
      </c>
      <c r="D65" t="s">
        <v>11</v>
      </c>
      <c r="E65" t="s">
        <v>18</v>
      </c>
      <c r="F65">
        <v>0</v>
      </c>
      <c r="G65" t="s">
        <v>62</v>
      </c>
      <c r="H65" t="s">
        <v>58</v>
      </c>
      <c r="I65">
        <v>1</v>
      </c>
      <c r="J65" t="s">
        <v>116</v>
      </c>
    </row>
    <row r="66" spans="1:10" x14ac:dyDescent="0.25">
      <c r="A66">
        <v>266</v>
      </c>
      <c r="B66">
        <v>50</v>
      </c>
      <c r="C66">
        <v>18.8</v>
      </c>
      <c r="D66" t="s">
        <v>11</v>
      </c>
      <c r="E66" t="s">
        <v>23</v>
      </c>
      <c r="F66">
        <v>1</v>
      </c>
      <c r="G66" t="s">
        <v>63</v>
      </c>
      <c r="H66" t="s">
        <v>58</v>
      </c>
      <c r="I66">
        <v>1</v>
      </c>
      <c r="J66" t="s">
        <v>116</v>
      </c>
    </row>
    <row r="67" spans="1:10" x14ac:dyDescent="0.25">
      <c r="A67">
        <v>20957</v>
      </c>
      <c r="B67">
        <v>3921</v>
      </c>
      <c r="C67">
        <v>18.71</v>
      </c>
      <c r="D67" t="s">
        <v>9</v>
      </c>
      <c r="E67" t="s">
        <v>23</v>
      </c>
      <c r="F67">
        <v>0</v>
      </c>
      <c r="G67" t="s">
        <v>64</v>
      </c>
      <c r="H67" t="s">
        <v>58</v>
      </c>
      <c r="I67">
        <v>1</v>
      </c>
      <c r="J67" t="s">
        <v>116</v>
      </c>
    </row>
    <row r="68" spans="1:10" x14ac:dyDescent="0.25">
      <c r="A68">
        <v>1395</v>
      </c>
      <c r="B68">
        <v>255</v>
      </c>
      <c r="C68">
        <v>18.28</v>
      </c>
      <c r="D68" t="s">
        <v>22</v>
      </c>
      <c r="E68" t="s">
        <v>23</v>
      </c>
      <c r="F68">
        <v>0</v>
      </c>
      <c r="G68" t="s">
        <v>65</v>
      </c>
      <c r="H68" t="s">
        <v>58</v>
      </c>
      <c r="I68">
        <v>1</v>
      </c>
      <c r="J68" t="s">
        <v>116</v>
      </c>
    </row>
    <row r="69" spans="1:10" x14ac:dyDescent="0.25">
      <c r="A69">
        <v>720</v>
      </c>
      <c r="B69">
        <v>124</v>
      </c>
      <c r="C69">
        <v>17.22</v>
      </c>
      <c r="D69" t="s">
        <v>9</v>
      </c>
      <c r="E69" t="s">
        <v>23</v>
      </c>
      <c r="F69">
        <v>1</v>
      </c>
      <c r="G69" t="s">
        <v>66</v>
      </c>
      <c r="H69" t="s">
        <v>58</v>
      </c>
      <c r="I69">
        <v>1</v>
      </c>
      <c r="J69" t="s">
        <v>116</v>
      </c>
    </row>
    <row r="70" spans="1:10" x14ac:dyDescent="0.25">
      <c r="A70">
        <v>1697</v>
      </c>
      <c r="B70">
        <v>290</v>
      </c>
      <c r="C70">
        <v>17.09</v>
      </c>
      <c r="D70" t="s">
        <v>26</v>
      </c>
      <c r="E70" t="s">
        <v>18</v>
      </c>
      <c r="F70">
        <v>0</v>
      </c>
      <c r="G70" t="s">
        <v>67</v>
      </c>
      <c r="H70" t="s">
        <v>58</v>
      </c>
      <c r="I70">
        <v>1</v>
      </c>
      <c r="J70" t="s">
        <v>116</v>
      </c>
    </row>
    <row r="71" spans="1:10" x14ac:dyDescent="0.25">
      <c r="A71">
        <v>488</v>
      </c>
      <c r="B71">
        <v>82</v>
      </c>
      <c r="C71">
        <v>16.8</v>
      </c>
      <c r="D71" t="s">
        <v>16</v>
      </c>
      <c r="E71" t="s">
        <v>48</v>
      </c>
      <c r="F71">
        <v>1</v>
      </c>
      <c r="G71" t="s">
        <v>68</v>
      </c>
      <c r="H71" t="s">
        <v>58</v>
      </c>
      <c r="I71">
        <v>1</v>
      </c>
      <c r="J71" t="s">
        <v>116</v>
      </c>
    </row>
    <row r="72" spans="1:10" x14ac:dyDescent="0.25">
      <c r="A72">
        <v>15427</v>
      </c>
      <c r="B72">
        <v>2584</v>
      </c>
      <c r="C72">
        <v>16.75</v>
      </c>
      <c r="D72" t="s">
        <v>16</v>
      </c>
      <c r="E72" t="s">
        <v>110</v>
      </c>
      <c r="F72">
        <v>0</v>
      </c>
      <c r="G72" t="s">
        <v>109</v>
      </c>
      <c r="H72" t="s">
        <v>58</v>
      </c>
      <c r="I72">
        <v>1</v>
      </c>
      <c r="J72" t="s">
        <v>116</v>
      </c>
    </row>
    <row r="73" spans="1:10" x14ac:dyDescent="0.25">
      <c r="A73">
        <v>1666</v>
      </c>
      <c r="B73">
        <v>278</v>
      </c>
      <c r="C73">
        <v>16.690000000000001</v>
      </c>
      <c r="D73" t="s">
        <v>11</v>
      </c>
      <c r="E73" t="s">
        <v>23</v>
      </c>
      <c r="F73">
        <v>0</v>
      </c>
      <c r="G73" t="s">
        <v>69</v>
      </c>
      <c r="H73" t="s">
        <v>58</v>
      </c>
      <c r="I73">
        <v>1</v>
      </c>
      <c r="J73" t="s">
        <v>116</v>
      </c>
    </row>
    <row r="74" spans="1:10" x14ac:dyDescent="0.25">
      <c r="A74">
        <v>230</v>
      </c>
      <c r="B74">
        <v>38</v>
      </c>
      <c r="C74">
        <v>16.52</v>
      </c>
      <c r="D74" t="s">
        <v>26</v>
      </c>
      <c r="E74" t="s">
        <v>23</v>
      </c>
      <c r="F74">
        <v>1</v>
      </c>
      <c r="G74" t="s">
        <v>70</v>
      </c>
      <c r="H74" t="s">
        <v>58</v>
      </c>
      <c r="I74">
        <v>1</v>
      </c>
      <c r="J74" t="s">
        <v>116</v>
      </c>
    </row>
    <row r="75" spans="1:10" x14ac:dyDescent="0.25">
      <c r="A75">
        <v>859</v>
      </c>
      <c r="B75">
        <v>140</v>
      </c>
      <c r="C75">
        <v>16.3</v>
      </c>
      <c r="D75" t="s">
        <v>22</v>
      </c>
      <c r="E75" t="s">
        <v>48</v>
      </c>
      <c r="F75">
        <v>0</v>
      </c>
      <c r="G75" t="s">
        <v>71</v>
      </c>
      <c r="H75" t="s">
        <v>58</v>
      </c>
      <c r="I75">
        <v>1</v>
      </c>
      <c r="J75" t="s">
        <v>116</v>
      </c>
    </row>
    <row r="76" spans="1:10" x14ac:dyDescent="0.25">
      <c r="A76">
        <v>2078</v>
      </c>
      <c r="B76">
        <v>330</v>
      </c>
      <c r="C76">
        <v>15.88</v>
      </c>
      <c r="D76" t="s">
        <v>26</v>
      </c>
      <c r="E76" t="s">
        <v>13</v>
      </c>
      <c r="F76">
        <v>0</v>
      </c>
      <c r="G76" t="s">
        <v>72</v>
      </c>
      <c r="H76" t="s">
        <v>58</v>
      </c>
      <c r="I76">
        <v>1</v>
      </c>
      <c r="J76" t="s">
        <v>116</v>
      </c>
    </row>
    <row r="77" spans="1:10" x14ac:dyDescent="0.25">
      <c r="A77">
        <v>103</v>
      </c>
      <c r="B77">
        <v>16</v>
      </c>
      <c r="C77">
        <v>15.53</v>
      </c>
      <c r="D77" t="s">
        <v>9</v>
      </c>
      <c r="E77" t="s">
        <v>23</v>
      </c>
      <c r="F77">
        <v>2</v>
      </c>
      <c r="G77" t="s">
        <v>73</v>
      </c>
      <c r="H77" t="s">
        <v>58</v>
      </c>
      <c r="I77">
        <v>1</v>
      </c>
      <c r="J77" t="s">
        <v>116</v>
      </c>
    </row>
    <row r="78" spans="1:10" x14ac:dyDescent="0.25">
      <c r="A78">
        <v>167</v>
      </c>
      <c r="B78">
        <v>25</v>
      </c>
      <c r="C78">
        <v>14.97</v>
      </c>
      <c r="D78" t="s">
        <v>11</v>
      </c>
      <c r="E78" t="s">
        <v>48</v>
      </c>
      <c r="F78">
        <v>1</v>
      </c>
      <c r="G78" t="s">
        <v>74</v>
      </c>
      <c r="H78" t="s">
        <v>75</v>
      </c>
      <c r="I78">
        <v>0</v>
      </c>
      <c r="J78" t="s">
        <v>117</v>
      </c>
    </row>
    <row r="79" spans="1:10" x14ac:dyDescent="0.25">
      <c r="A79">
        <v>1683</v>
      </c>
      <c r="B79">
        <v>250</v>
      </c>
      <c r="C79">
        <v>14.85</v>
      </c>
      <c r="D79" t="s">
        <v>26</v>
      </c>
      <c r="E79" t="s">
        <v>23</v>
      </c>
      <c r="F79">
        <v>0</v>
      </c>
      <c r="G79" t="s">
        <v>76</v>
      </c>
      <c r="H79" t="s">
        <v>75</v>
      </c>
      <c r="I79">
        <v>0</v>
      </c>
      <c r="J79" t="s">
        <v>117</v>
      </c>
    </row>
    <row r="80" spans="1:10" x14ac:dyDescent="0.25">
      <c r="A80">
        <v>327</v>
      </c>
      <c r="B80">
        <v>48</v>
      </c>
      <c r="C80">
        <v>14.68</v>
      </c>
      <c r="D80" t="s">
        <v>9</v>
      </c>
      <c r="E80" t="s">
        <v>48</v>
      </c>
      <c r="F80">
        <v>1</v>
      </c>
      <c r="G80" t="s">
        <v>77</v>
      </c>
      <c r="H80" t="s">
        <v>75</v>
      </c>
      <c r="I80">
        <v>0</v>
      </c>
      <c r="J80" t="s">
        <v>117</v>
      </c>
    </row>
    <row r="81" spans="1:10" x14ac:dyDescent="0.25">
      <c r="A81">
        <v>8044</v>
      </c>
      <c r="B81">
        <v>1160</v>
      </c>
      <c r="C81">
        <v>14.42</v>
      </c>
      <c r="D81" t="s">
        <v>16</v>
      </c>
      <c r="E81" t="s">
        <v>13</v>
      </c>
      <c r="F81">
        <v>0</v>
      </c>
      <c r="G81" t="s">
        <v>78</v>
      </c>
      <c r="H81" t="s">
        <v>75</v>
      </c>
      <c r="I81">
        <v>0</v>
      </c>
      <c r="J81" t="s">
        <v>117</v>
      </c>
    </row>
    <row r="82" spans="1:10" x14ac:dyDescent="0.25">
      <c r="A82">
        <v>14569</v>
      </c>
      <c r="B82">
        <v>2080</v>
      </c>
      <c r="C82">
        <v>14.28</v>
      </c>
      <c r="D82" t="s">
        <v>9</v>
      </c>
      <c r="E82" t="s">
        <v>48</v>
      </c>
      <c r="F82">
        <v>0</v>
      </c>
      <c r="G82" t="s">
        <v>79</v>
      </c>
      <c r="H82" t="s">
        <v>75</v>
      </c>
      <c r="I82">
        <v>0</v>
      </c>
      <c r="J82" t="s">
        <v>117</v>
      </c>
    </row>
    <row r="83" spans="1:10" x14ac:dyDescent="0.25">
      <c r="A83">
        <v>1056</v>
      </c>
      <c r="B83">
        <v>144</v>
      </c>
      <c r="C83">
        <v>13.64</v>
      </c>
      <c r="D83" t="s">
        <v>26</v>
      </c>
      <c r="E83" t="s">
        <v>48</v>
      </c>
      <c r="F83">
        <v>0</v>
      </c>
      <c r="G83" t="s">
        <v>80</v>
      </c>
      <c r="H83" t="s">
        <v>75</v>
      </c>
      <c r="I83">
        <v>0</v>
      </c>
      <c r="J83" t="s">
        <v>117</v>
      </c>
    </row>
    <row r="84" spans="1:10" x14ac:dyDescent="0.25">
      <c r="A84">
        <v>6645</v>
      </c>
      <c r="B84">
        <v>866</v>
      </c>
      <c r="C84">
        <v>13.03</v>
      </c>
      <c r="D84" t="s">
        <v>16</v>
      </c>
      <c r="E84" t="s">
        <v>18</v>
      </c>
      <c r="F84">
        <v>0</v>
      </c>
      <c r="G84" t="s">
        <v>81</v>
      </c>
      <c r="H84" t="s">
        <v>75</v>
      </c>
      <c r="I84">
        <v>0</v>
      </c>
      <c r="J84" t="s">
        <v>117</v>
      </c>
    </row>
    <row r="85" spans="1:10" x14ac:dyDescent="0.25">
      <c r="A85">
        <v>1139</v>
      </c>
      <c r="B85">
        <v>142</v>
      </c>
      <c r="C85">
        <v>12.47</v>
      </c>
      <c r="D85" t="s">
        <v>11</v>
      </c>
      <c r="E85" t="s">
        <v>48</v>
      </c>
      <c r="F85">
        <v>0</v>
      </c>
      <c r="G85" t="s">
        <v>82</v>
      </c>
      <c r="H85" t="s">
        <v>75</v>
      </c>
      <c r="I85">
        <v>0</v>
      </c>
      <c r="J85" t="s">
        <v>117</v>
      </c>
    </row>
    <row r="86" spans="1:10" x14ac:dyDescent="0.25">
      <c r="A86">
        <v>6852</v>
      </c>
      <c r="B86">
        <v>776</v>
      </c>
      <c r="C86">
        <v>11.33</v>
      </c>
      <c r="D86" t="s">
        <v>16</v>
      </c>
      <c r="E86" t="s">
        <v>23</v>
      </c>
      <c r="F86">
        <v>0</v>
      </c>
      <c r="G86" t="s">
        <v>83</v>
      </c>
      <c r="H86" t="s">
        <v>75</v>
      </c>
      <c r="I86">
        <v>0</v>
      </c>
      <c r="J86" t="s">
        <v>117</v>
      </c>
    </row>
    <row r="87" spans="1:10" x14ac:dyDescent="0.25">
      <c r="A87">
        <v>4584</v>
      </c>
      <c r="B87">
        <v>407</v>
      </c>
      <c r="C87">
        <v>8.8800000000000008</v>
      </c>
      <c r="D87" t="s">
        <v>16</v>
      </c>
      <c r="E87" t="s">
        <v>48</v>
      </c>
      <c r="F87">
        <v>0</v>
      </c>
      <c r="G87" t="s">
        <v>84</v>
      </c>
      <c r="H87" t="s">
        <v>75</v>
      </c>
      <c r="I87">
        <v>0</v>
      </c>
      <c r="J87" t="s">
        <v>117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Visual</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Symons</dc:creator>
  <cp:lastModifiedBy>Jeffrey Symons</cp:lastModifiedBy>
  <dcterms:created xsi:type="dcterms:W3CDTF">2026-05-27T20:44:10Z</dcterms:created>
  <dcterms:modified xsi:type="dcterms:W3CDTF">2026-05-28T16:12:53Z</dcterms:modified>
</cp:coreProperties>
</file>